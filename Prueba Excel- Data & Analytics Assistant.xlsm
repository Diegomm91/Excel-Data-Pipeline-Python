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docMetadata/LabelInfo.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strucciones" sheetId="1" state="visible" r:id="rId4"/>
    <sheet name="Datos" sheetId="2" state="visible" r:id="rId5"/>
    <sheet name="Resumen" sheetId="3" state="visible" r:id="rId6"/>
    <sheet name="Marking" sheetId="4" state="hidden" r:id="rId7"/>
    <sheet name="Results &amp; Timings" sheetId="5" state="hidden" r:id="rId8"/>
  </sheets>
  <definedNames>
    <definedName function="false" hidden="true" localSheetId="1" name="_xlnm._FilterDatabase" vbProcedure="false">Datos!$A$4:$M$52</definedName>
    <definedName function="false" hidden="true" localSheetId="3" name="_xlnm._FilterDatabase" vbProcedure="false">Marking!$A$4:$M$52</definedName>
    <definedName function="false" hidden="true" name="_xleta.NOW" vbProcedure="false">#NAME?</definedName>
    <definedName function="false" hidden="true" name="_xleta.SHEET"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<sst xmlns="http://schemas.openxmlformats.org/spreadsheetml/2006/main" count="421" uniqueCount="221">
  <si>
    <t xml:space="preserve">Technical Assistant - Data &amp; Analytics</t>
  </si>
  <si>
    <t xml:space="preserve">Nombre:</t>
  </si>
  <si>
    <t xml:space="preserve">Tarea No</t>
  </si>
  <si>
    <t xml:space="preserve">Nombre de la Tarea</t>
  </si>
  <si>
    <t xml:space="preserve">Tarea Completada</t>
  </si>
  <si>
    <t xml:space="preserve">Fecha:</t>
  </si>
  <si>
    <t xml:space="preserve">Ejercicio Iniciado</t>
  </si>
  <si>
    <t xml:space="preserve">Nombre del Grupo de Ubicación Completo</t>
  </si>
  <si>
    <t xml:space="preserve">Depuración de Dirección Completa</t>
  </si>
  <si>
    <t xml:space="preserve"> </t>
  </si>
  <si>
    <t xml:space="preserve">Suma de Valores 1 y 2 Completa</t>
  </si>
  <si>
    <t xml:space="preserve">Valor 3 Ajustado a 12 Meses Completo</t>
  </si>
  <si>
    <t xml:space="preserve">Valor 4 (Prorrateado) Completo</t>
  </si>
  <si>
    <t xml:space="preserve">Resumen de Datos Completo</t>
  </si>
  <si>
    <t xml:space="preserve">Instrucciones</t>
  </si>
  <si>
    <t xml:space="preserve">Por favor guarde el archivo localmente antes de continuar y asegúrese de que las macros estén habilitadas.</t>
  </si>
  <si>
    <t xml:space="preserve">Complete cada tarea en orden cronológico.</t>
  </si>
  <si>
    <t xml:space="preserve">Si no puede completar una tarea establezca "Unable To Complete".</t>
  </si>
  <si>
    <t xml:space="preserve">Las tareas 1-6 deben completarse en la hoja 'Datos'.</t>
  </si>
  <si>
    <t xml:space="preserve">La tarea 7 debe completarse en la hoja 'Resumen'.</t>
  </si>
  <si>
    <t xml:space="preserve">Asegúrese de que las fórmulas utilizadas se mantengan para su revisión.</t>
  </si>
  <si>
    <t xml:space="preserve">Tarea 1</t>
  </si>
  <si>
    <t xml:space="preserve">Introduce tu nombre y la fecha en los campos de arriba. Cambia la opción "Tarea Completada" en la celda F1 a "Yes".</t>
  </si>
  <si>
    <t xml:space="preserve">Tarea 2</t>
  </si>
  <si>
    <t xml:space="preserve">Utilizando la tabla a continuación, complete la columna "B" de la hoja de cálculo "Datos" con el "Nombre del grupo de ubicación" según el "Número de grupo de ubicación". No olvide marcar la tarea como completada posteriormente.</t>
  </si>
  <si>
    <t xml:space="preserve">Número de grupo de ubicación</t>
  </si>
  <si>
    <t xml:space="preserve">Nombre de grupo de ubicación</t>
  </si>
  <si>
    <t xml:space="preserve">Earthquake</t>
  </si>
  <si>
    <t xml:space="preserve">Windstorm</t>
  </si>
  <si>
    <t xml:space="preserve">Flood</t>
  </si>
  <si>
    <t xml:space="preserve">Hail</t>
  </si>
  <si>
    <t xml:space="preserve">Fire</t>
  </si>
  <si>
    <t xml:space="preserve">Other</t>
  </si>
  <si>
    <t xml:space="preserve">Tarea 3</t>
  </si>
  <si>
    <t xml:space="preserve">En la hoja de cálculo 'Datos', actualice la información de la dirección según las instrucciones que aparecen a continuación e introdúzcala en la columna 'Dirección depurada'.</t>
  </si>
  <si>
    <t xml:space="preserve">Por favor, elimine toda la puntuación; vea los caracteres de ejemplo a continuación.</t>
  </si>
  <si>
    <t xml:space="preserve">.</t>
  </si>
  <si>
    <t xml:space="preserve">-</t>
  </si>
  <si>
    <t xml:space="preserve">,</t>
  </si>
  <si>
    <t xml:space="preserve">#</t>
  </si>
  <si>
    <t xml:space="preserve">&amp;</t>
  </si>
  <si>
    <t xml:space="preserve">@</t>
  </si>
  <si>
    <t xml:space="preserve">Por favor, actualice los números de calle que formen parte de un rango, de modo que solo se incluya el primer número. A continuación se muestra un ejemplo.</t>
  </si>
  <si>
    <t xml:space="preserve">Dirección</t>
  </si>
  <si>
    <t xml:space="preserve">Dirección Depurada</t>
  </si>
  <si>
    <t xml:space="preserve">43-49 Brown St.</t>
  </si>
  <si>
    <t xml:space="preserve">43 Brown St</t>
  </si>
  <si>
    <t xml:space="preserve">Elimine cualquier referencia a Unidades o Suites y cualquier numeración posterior de dichas unidades o suites. A continuación se muestra un ejemplo.</t>
  </si>
  <si>
    <t xml:space="preserve">89 Brown Avenue Unit 2</t>
  </si>
  <si>
    <t xml:space="preserve">89 Brown Avenue</t>
  </si>
  <si>
    <t xml:space="preserve">Tarea 4</t>
  </si>
  <si>
    <t xml:space="preserve">En la hoja de cálculo 'Datos', sume los valores de los campos 'Valor 1' y 'Valor 2' en la columna 'Suma valores 1 y 2'.</t>
  </si>
  <si>
    <t xml:space="preserve">Tarea 5</t>
  </si>
  <si>
    <t xml:space="preserve">En la hoja de cálculo 'Datos', ajuste el importe del 'Valor 3' a un valor de 12 meses e introduzca en la columna 'Valor 3 ajustado a 12 meses'.</t>
  </si>
  <si>
    <t xml:space="preserve">El importe en meses del 'Valor 3' se indica en el campo 'Período aplicable del Valor 3 (Meses)'.</t>
  </si>
  <si>
    <t xml:space="preserve">Tarea 6</t>
  </si>
  <si>
    <t xml:space="preserve">Por favor, prorratee el importe del "Valor 4" que aparece a continuación entre todas las filas de la tabla e introdúzcalo en la columna "Valor 4 (Prorrateado)". Asegúrese de utilizar el campo "Importe total" como base para el prorrateo.</t>
  </si>
  <si>
    <t xml:space="preserve">** Prorrateo se refiere al proceso de distribuir o asignar algo de manera justa en función de una parte proporcional.</t>
  </si>
  <si>
    <t xml:space="preserve">Valor 4</t>
  </si>
  <si>
    <t xml:space="preserve">Utilice el siguiente espacio para cualquier comentario adicional sobre esta tarea.</t>
  </si>
  <si>
    <t xml:space="preserve">Tarea 7</t>
  </si>
  <si>
    <t xml:space="preserve">En la hoja de cálculo "Resumen", proporcione un resumen de los datos por "Número de grupo de ubicación" y sume todas las columnas de valores para cada uno.</t>
  </si>
  <si>
    <t xml:space="preserve">Dirección depurada</t>
  </si>
  <si>
    <t xml:space="preserve">Item</t>
  </si>
  <si>
    <t xml:space="preserve">Valor 1</t>
  </si>
  <si>
    <t xml:space="preserve">Valor 2</t>
  </si>
  <si>
    <t xml:space="preserve">Valor 3</t>
  </si>
  <si>
    <t xml:space="preserve">Importe Total</t>
  </si>
  <si>
    <t xml:space="preserve">Suma Valores 1&amp;2</t>
  </si>
  <si>
    <t xml:space="preserve">Período aplicable del Valor 3 (Meses)</t>
  </si>
  <si>
    <t xml:space="preserve">Valor 3 ajustado a 12 meses</t>
  </si>
  <si>
    <t xml:space="preserve">Valor 4 (Prorrateo)</t>
  </si>
  <si>
    <t xml:space="preserve">185 Pink Avenue</t>
  </si>
  <si>
    <t xml:space="preserve">West Lean To </t>
  </si>
  <si>
    <t xml:space="preserve">156 Brown St.</t>
  </si>
  <si>
    <t xml:space="preserve">Primer Building </t>
  </si>
  <si>
    <t xml:space="preserve">16 Green Blvd</t>
  </si>
  <si>
    <t xml:space="preserve">North Lean To </t>
  </si>
  <si>
    <t xml:space="preserve">195 Black Crescent</t>
  </si>
  <si>
    <t xml:space="preserve">Main Manufacturing Building </t>
  </si>
  <si>
    <t xml:space="preserve">34 Yellow Ave Unit 4</t>
  </si>
  <si>
    <t xml:space="preserve">2nd Manufacturing Building </t>
  </si>
  <si>
    <t xml:space="preserve">#216 Pink Blvd</t>
  </si>
  <si>
    <t xml:space="preserve">Treating Plant</t>
  </si>
  <si>
    <t xml:space="preserve">12-20 Black Way</t>
  </si>
  <si>
    <t xml:space="preserve">Stacker Building </t>
  </si>
  <si>
    <t xml:space="preserve">222 Purple Hill</t>
  </si>
  <si>
    <t xml:space="preserve">Dome 11</t>
  </si>
  <si>
    <t xml:space="preserve">97 Blue Crescent</t>
  </si>
  <si>
    <t xml:space="preserve">Far East Lean To </t>
  </si>
  <si>
    <t xml:space="preserve">245 Yellow Ave</t>
  </si>
  <si>
    <t xml:space="preserve">Dome 12</t>
  </si>
  <si>
    <t xml:space="preserve">180 Pink St Suite 4</t>
  </si>
  <si>
    <t xml:space="preserve">Cold Storage for Lumber Dome 13</t>
  </si>
  <si>
    <t xml:space="preserve">115 Purple Street</t>
  </si>
  <si>
    <t xml:space="preserve">Dowler Building</t>
  </si>
  <si>
    <t xml:space="preserve">38 Blue Way Unit 3</t>
  </si>
  <si>
    <t xml:space="preserve">Post Processing Building Sawmill</t>
  </si>
  <si>
    <t xml:space="preserve">250 Pink Blvd</t>
  </si>
  <si>
    <t xml:space="preserve">Dry Kiln</t>
  </si>
  <si>
    <t xml:space="preserve">132-136 Orange Road</t>
  </si>
  <si>
    <t xml:space="preserve">Dry Storage Building Dome 14</t>
  </si>
  <si>
    <t xml:space="preserve">182 Black Way</t>
  </si>
  <si>
    <t xml:space="preserve">Office Breakroom </t>
  </si>
  <si>
    <t xml:space="preserve">210 Blue Crescent</t>
  </si>
  <si>
    <t xml:space="preserve">Shop Pole Barn Storage Old Repair Shop</t>
  </si>
  <si>
    <t xml:space="preserve">213 Black Crescent</t>
  </si>
  <si>
    <t xml:space="preserve">Hoop BuildingDome</t>
  </si>
  <si>
    <t xml:space="preserve">51 Blue Street Unit 3</t>
  </si>
  <si>
    <t xml:space="preserve">Merch BuildingIncludes Installed Equip</t>
  </si>
  <si>
    <t xml:space="preserve">227 Yellow Way Unit 3</t>
  </si>
  <si>
    <t xml:space="preserve">TW Shop Building</t>
  </si>
  <si>
    <t xml:space="preserve">215 Yellow Ave</t>
  </si>
  <si>
    <t xml:space="preserve">Warehouse New Repair Shop</t>
  </si>
  <si>
    <t xml:space="preserve">14 Brown Crescent Unit 9</t>
  </si>
  <si>
    <t xml:space="preserve">Manufacturing Plant Chip Building </t>
  </si>
  <si>
    <t xml:space="preserve">177 Blue Ave Unit 8</t>
  </si>
  <si>
    <t xml:space="preserve">Hoop Building Dome 5</t>
  </si>
  <si>
    <t xml:space="preserve">61 Brown Way</t>
  </si>
  <si>
    <t xml:space="preserve">Bin</t>
  </si>
  <si>
    <t xml:space="preserve">71-80 Purple Blvd</t>
  </si>
  <si>
    <t xml:space="preserve">Office</t>
  </si>
  <si>
    <t xml:space="preserve">86 Orange Avenue</t>
  </si>
  <si>
    <t xml:space="preserve">Maintenance Shop</t>
  </si>
  <si>
    <t xml:space="preserve">202 Brown Crescent</t>
  </si>
  <si>
    <t xml:space="preserve">Freezer 8</t>
  </si>
  <si>
    <t xml:space="preserve">#69 Purple Crescent</t>
  </si>
  <si>
    <t xml:space="preserve">Offices Batteries zone</t>
  </si>
  <si>
    <t xml:space="preserve">92 Blue Street</t>
  </si>
  <si>
    <t xml:space="preserve">Warehouse</t>
  </si>
  <si>
    <t xml:space="preserve">185 White Crescent Suite 6</t>
  </si>
  <si>
    <t xml:space="preserve">CP2 Production Line</t>
  </si>
  <si>
    <t xml:space="preserve">29 Brown Crescent</t>
  </si>
  <si>
    <t xml:space="preserve">Waste Water Treating Facility</t>
  </si>
  <si>
    <t xml:space="preserve">248 Brown Blvd</t>
  </si>
  <si>
    <t xml:space="preserve">Old part of building</t>
  </si>
  <si>
    <t xml:space="preserve">247 Pink Road</t>
  </si>
  <si>
    <t xml:space="preserve">Office equipment</t>
  </si>
  <si>
    <t xml:space="preserve">22 Blue Avenue</t>
  </si>
  <si>
    <t xml:space="preserve">EDPStLinLaurentides</t>
  </si>
  <si>
    <t xml:space="preserve">234 Yellow Way</t>
  </si>
  <si>
    <t xml:space="preserve">EDPBoisDesFilion</t>
  </si>
  <si>
    <t xml:space="preserve">12-13 White Way</t>
  </si>
  <si>
    <t xml:space="preserve">EDPCologix Montreal, Qc</t>
  </si>
  <si>
    <t xml:space="preserve">Lift trucks</t>
  </si>
  <si>
    <t xml:space="preserve">203 Blue Road</t>
  </si>
  <si>
    <t xml:space="preserve">CP2 Production Line Equipment</t>
  </si>
  <si>
    <t xml:space="preserve">28 Orange Road</t>
  </si>
  <si>
    <t xml:space="preserve">Repackaging Equipment</t>
  </si>
  <si>
    <t xml:space="preserve">Maintenance shop Equipment</t>
  </si>
  <si>
    <t xml:space="preserve">228 Pink Avenue</t>
  </si>
  <si>
    <t xml:space="preserve">Experimental Kitchen &amp; Lab Equipment</t>
  </si>
  <si>
    <t xml:space="preserve">141 Yellow Blvd</t>
  </si>
  <si>
    <t xml:space="preserve">Various Equipment</t>
  </si>
  <si>
    <t xml:space="preserve">81 Blue Street</t>
  </si>
  <si>
    <t xml:space="preserve">Waste Water Treating Facility Equipment</t>
  </si>
  <si>
    <t xml:space="preserve">38 Blue Crescent</t>
  </si>
  <si>
    <t xml:space="preserve">Stock Finished goods</t>
  </si>
  <si>
    <t xml:space="preserve">133 Orange Crescent</t>
  </si>
  <si>
    <t xml:space="preserve">Profits</t>
  </si>
  <si>
    <t xml:space="preserve">10 Black Avenue</t>
  </si>
  <si>
    <t xml:space="preserve">Auditors Fees</t>
  </si>
  <si>
    <t xml:space="preserve">36 White Road</t>
  </si>
  <si>
    <t xml:space="preserve">Extra Expense</t>
  </si>
  <si>
    <t xml:space="preserve">Total</t>
  </si>
  <si>
    <t xml:space="preserve">Resumen</t>
  </si>
  <si>
    <t xml:space="preserve">Exposure Management Data Exercise - Data Set</t>
  </si>
  <si>
    <t xml:space="preserve">Location Group Number</t>
  </si>
  <si>
    <t xml:space="preserve">Location Group Name</t>
  </si>
  <si>
    <t xml:space="preserve">Address</t>
  </si>
  <si>
    <t xml:space="preserve">Cleansed Address</t>
  </si>
  <si>
    <t xml:space="preserve">Value 1</t>
  </si>
  <si>
    <t xml:space="preserve">Value 2</t>
  </si>
  <si>
    <t xml:space="preserve">Value 3</t>
  </si>
  <si>
    <t xml:space="preserve">Total Amount</t>
  </si>
  <si>
    <t xml:space="preserve">Sum of Values 1&amp;2</t>
  </si>
  <si>
    <t xml:space="preserve">Value 3 Applicable Period (Months)</t>
  </si>
  <si>
    <t xml:space="preserve">Value 3 Adjusted to 12 Months</t>
  </si>
  <si>
    <t xml:space="preserve">Value 4 (Pro Rata)</t>
  </si>
  <si>
    <t xml:space="preserve">Task 2</t>
  </si>
  <si>
    <t xml:space="preserve">Task 3</t>
  </si>
  <si>
    <t xml:space="preserve">Task 4</t>
  </si>
  <si>
    <t xml:space="preserve">Task 5</t>
  </si>
  <si>
    <t xml:space="preserve">Task 6</t>
  </si>
  <si>
    <t xml:space="preserve">156 Brown St</t>
  </si>
  <si>
    <t xml:space="preserve">34 Yellow Ave</t>
  </si>
  <si>
    <t xml:space="preserve">216 Pink Blvd</t>
  </si>
  <si>
    <t xml:space="preserve">12 Black Way</t>
  </si>
  <si>
    <t xml:space="preserve">180 Pink St</t>
  </si>
  <si>
    <t xml:space="preserve">38 Blue Way</t>
  </si>
  <si>
    <t xml:space="preserve">132 Orange Road</t>
  </si>
  <si>
    <t xml:space="preserve">51 Blue Street</t>
  </si>
  <si>
    <t xml:space="preserve">227 Yellow Way</t>
  </si>
  <si>
    <t xml:space="preserve">14 Brown Crescent</t>
  </si>
  <si>
    <t xml:space="preserve">177 Blue Ave</t>
  </si>
  <si>
    <t xml:space="preserve">71 Purple Blvd</t>
  </si>
  <si>
    <t xml:space="preserve">69 Purple Crescent</t>
  </si>
  <si>
    <t xml:space="preserve">185 White Crescent</t>
  </si>
  <si>
    <t xml:space="preserve">12 White Way</t>
  </si>
  <si>
    <t xml:space="preserve">Completed Times</t>
  </si>
  <si>
    <t xml:space="preserve">Time Taken</t>
  </si>
  <si>
    <t xml:space="preserve">Baseline</t>
  </si>
  <si>
    <t xml:space="preserve">% vs Baseline</t>
  </si>
  <si>
    <t xml:space="preserve">Time Score</t>
  </si>
  <si>
    <t xml:space="preserve">Accuracy</t>
  </si>
  <si>
    <t xml:space="preserve">Accuracy Baseline</t>
  </si>
  <si>
    <t xml:space="preserve">Accuracy Score</t>
  </si>
  <si>
    <t xml:space="preserve">Formula/Pivot Used</t>
  </si>
  <si>
    <t xml:space="preserve">Formula/Pivot Score</t>
  </si>
  <si>
    <t xml:space="preserve">Task Completed</t>
  </si>
  <si>
    <t xml:space="preserve">Task 1</t>
  </si>
  <si>
    <t xml:space="preserve">NA</t>
  </si>
  <si>
    <t xml:space="preserve">Task 7</t>
  </si>
  <si>
    <t xml:space="preserve">Time</t>
  </si>
  <si>
    <t xml:space="preserve">Technical</t>
  </si>
  <si>
    <t xml:space="preserve">Error Spotted</t>
  </si>
  <si>
    <t xml:space="preserve">Total Score</t>
  </si>
  <si>
    <t xml:space="preserve">Did they identify the Total Value Error</t>
  </si>
  <si>
    <t xml:space="preserve">Score</t>
  </si>
  <si>
    <t xml:space="preserve">Out of</t>
  </si>
  <si>
    <t xml:space="preserve">%</t>
  </si>
</sst>
</file>

<file path=xl/styles.xml><?xml version="1.0" encoding="utf-8"?>
<styleSheet xmlns="http://schemas.openxmlformats.org/spreadsheetml/2006/main">
  <numFmts count="11">
    <numFmt numFmtId="164" formatCode="General"/>
    <numFmt numFmtId="165" formatCode="dd/mm/yyyy"/>
    <numFmt numFmtId="166" formatCode="_-* #,##0.00_-;\-* #,##0.00_-;_-* \-??_-;_-@_-"/>
    <numFmt numFmtId="167" formatCode="_-* #,##0_-;\-* #,##0_-;_-* \-??_-;_-@_-"/>
    <numFmt numFmtId="168" formatCode="#,##0"/>
    <numFmt numFmtId="169" formatCode="#,##0.00"/>
    <numFmt numFmtId="170" formatCode="General"/>
    <numFmt numFmtId="171" formatCode="dd/mm/yyyy\ h:mm"/>
    <numFmt numFmtId="172" formatCode="0\ %"/>
    <numFmt numFmtId="173" formatCode="[$-F400]h:mm:ss\ AM/PM"/>
    <numFmt numFmtId="174" formatCode="0"/>
  </numFmts>
  <fonts count="7">
    <font>
      <sz val="11"/>
      <color theme="1"/>
      <name val="Arial"/>
      <family val="2"/>
      <charset val="1"/>
    </font>
    <font>
      <sz val="10"/>
      <name val="Arial"/>
      <family val="0"/>
    </font>
    <font>
      <sz val="10"/>
      <name val="Arial"/>
      <family val="0"/>
    </font>
    <font>
      <sz val="10"/>
      <name val="Arial"/>
      <family val="0"/>
    </font>
    <font>
      <b val="true"/>
      <sz val="11"/>
      <color theme="1"/>
      <name val="Arial"/>
      <family val="2"/>
      <charset val="1"/>
    </font>
    <font>
      <b val="true"/>
      <u val="single"/>
      <sz val="11"/>
      <color theme="1"/>
      <name val="Arial"/>
      <family val="2"/>
      <charset val="1"/>
    </font>
    <font>
      <sz val="14"/>
      <color rgb="FF000000"/>
      <name val="Aptos Narrow"/>
      <family val="0"/>
    </font>
  </fonts>
  <fills count="5">
    <fill>
      <patternFill patternType="none"/>
    </fill>
    <fill>
      <patternFill patternType="gray125"/>
    </fill>
    <fill>
      <patternFill patternType="solid">
        <fgColor theme="5" tint="0.7999"/>
        <bgColor rgb="FFFFFFFF"/>
      </patternFill>
    </fill>
    <fill>
      <patternFill patternType="solid">
        <fgColor theme="7" tint="0.5999"/>
        <bgColor rgb="FFCCCCFF"/>
      </patternFill>
    </fill>
    <fill>
      <patternFill patternType="solid">
        <fgColor rgb="FFFFFF00"/>
        <bgColor rgb="FFFFFF00"/>
      </patternFill>
    </fill>
  </fills>
  <borders count="6">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5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center" textRotation="0" wrapText="true" indent="0" shrinkToFit="false"/>
      <protection locked="true" hidden="false"/>
    </xf>
    <xf numFmtId="165" fontId="0" fillId="2" borderId="1" xfId="0" applyFont="fals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true" applyProtection="false">
      <alignment horizontal="center"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0" fillId="2" borderId="1"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false" indent="0" shrinkToFit="false"/>
      <protection locked="true" hidden="false"/>
    </xf>
    <xf numFmtId="164" fontId="4" fillId="3" borderId="1" xfId="0" applyFont="true" applyBorder="true" applyAlignment="true" applyProtection="false">
      <alignment horizontal="center" vertical="center" textRotation="0" wrapText="true" indent="0" shrinkToFit="false"/>
      <protection locked="true" hidden="false"/>
    </xf>
    <xf numFmtId="164" fontId="4" fillId="4"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7" fontId="0" fillId="0" borderId="1" xfId="15"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8" fontId="0" fillId="0" borderId="0" xfId="0" applyFont="false" applyBorder="false" applyAlignment="true" applyProtection="false">
      <alignment horizontal="general" vertical="center" textRotation="0" wrapText="tru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8" fontId="4" fillId="0" borderId="1" xfId="0" applyFont="true" applyBorder="true" applyAlignment="false" applyProtection="false">
      <alignment horizontal="general" vertical="bottom" textRotation="0" wrapText="false" indent="0" shrinkToFit="false"/>
      <protection locked="true" hidden="false"/>
    </xf>
    <xf numFmtId="164" fontId="4" fillId="4" borderId="5" xfId="0" applyFont="true" applyBorder="true" applyAlignment="true" applyProtection="false">
      <alignment horizontal="center" vertical="center" textRotation="0" wrapText="tru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4" fillId="0" borderId="3" xfId="0" applyFont="true" applyBorder="true" applyAlignment="true" applyProtection="false">
      <alignment horizontal="center" vertical="center" textRotation="0" wrapText="true" indent="0" shrinkToFit="false"/>
      <protection locked="true" hidden="false"/>
    </xf>
    <xf numFmtId="171" fontId="0" fillId="0" borderId="2" xfId="0" applyFont="false" applyBorder="true" applyAlignment="false" applyProtection="false">
      <alignment horizontal="general" vertical="bottom" textRotation="0" wrapText="false" indent="0" shrinkToFit="false"/>
      <protection locked="true" hidden="false"/>
    </xf>
    <xf numFmtId="172" fontId="0" fillId="0" borderId="2" xfId="0" applyFont="true" applyBorder="true" applyAlignment="true" applyProtection="false">
      <alignment horizontal="center" vertical="bottom" textRotation="0" wrapText="false" indent="0" shrinkToFit="false"/>
      <protection locked="true" hidden="false"/>
    </xf>
    <xf numFmtId="171" fontId="0" fillId="0" borderId="3" xfId="0" applyFont="false" applyBorder="true" applyAlignment="false" applyProtection="false">
      <alignment horizontal="general" vertical="bottom" textRotation="0" wrapText="false" indent="0" shrinkToFit="false"/>
      <protection locked="true" hidden="false"/>
    </xf>
    <xf numFmtId="173" fontId="0" fillId="0" borderId="3" xfId="0" applyFont="false" applyBorder="true" applyAlignment="true" applyProtection="false">
      <alignment horizontal="center" vertical="bottom" textRotation="0" wrapText="false" indent="0" shrinkToFit="false"/>
      <protection locked="true" hidden="false"/>
    </xf>
    <xf numFmtId="172" fontId="0" fillId="0" borderId="3" xfId="19" applyFont="true" applyBorder="true" applyAlignment="true" applyProtection="true">
      <alignment horizontal="center" vertical="bottom" textRotation="0" wrapText="false" indent="0" shrinkToFit="false"/>
      <protection locked="true" hidden="false"/>
    </xf>
    <xf numFmtId="174" fontId="0" fillId="0" borderId="3" xfId="0" applyFont="false" applyBorder="true" applyAlignment="true" applyProtection="false">
      <alignment horizontal="center" vertical="bottom" textRotation="0" wrapText="false" indent="0" shrinkToFit="false"/>
      <protection locked="true" hidden="false"/>
    </xf>
    <xf numFmtId="172" fontId="0" fillId="0" borderId="3" xfId="0" applyFont="false" applyBorder="true" applyAlignment="true" applyProtection="false">
      <alignment horizontal="center" vertical="bottom" textRotation="0" wrapText="false" indent="0" shrinkToFit="false"/>
      <protection locked="true" hidden="false"/>
    </xf>
    <xf numFmtId="171" fontId="0" fillId="0" borderId="4" xfId="0" applyFont="false" applyBorder="true" applyAlignment="false" applyProtection="false">
      <alignment horizontal="general" vertical="bottom" textRotation="0" wrapText="false" indent="0" shrinkToFit="false"/>
      <protection locked="true" hidden="false"/>
    </xf>
    <xf numFmtId="172" fontId="0" fillId="0" borderId="4" xfId="19" applyFont="true" applyBorder="true" applyAlignment="true" applyProtection="true">
      <alignment horizontal="center" vertical="bottom" textRotation="0" wrapText="false" indent="0" shrinkToFit="false"/>
      <protection locked="true" hidden="false"/>
    </xf>
    <xf numFmtId="174" fontId="0" fillId="0" borderId="4" xfId="0" applyFont="false" applyBorder="true" applyAlignment="true" applyProtection="false">
      <alignment horizontal="center" vertical="bottom" textRotation="0" wrapText="false" indent="0" shrinkToFit="false"/>
      <protection locked="true" hidden="false"/>
    </xf>
    <xf numFmtId="172" fontId="0" fillId="0" borderId="4" xfId="0" applyFont="true" applyBorder="true" applyAlignment="true" applyProtection="false">
      <alignment horizontal="center" vertical="bottom" textRotation="0" wrapText="false" indent="0" shrinkToFit="false"/>
      <protection locked="true" hidden="false"/>
    </xf>
    <xf numFmtId="173" fontId="4" fillId="0" borderId="1" xfId="0" applyFont="true" applyBorder="true" applyAlignment="true" applyProtection="false">
      <alignment horizontal="center" vertical="bottom" textRotation="0" wrapText="false" indent="0" shrinkToFit="false"/>
      <protection locked="true" hidden="false"/>
    </xf>
    <xf numFmtId="172" fontId="4" fillId="0" borderId="1" xfId="19" applyFont="true" applyBorder="true" applyAlignment="true" applyProtection="true">
      <alignment horizontal="center" vertical="bottom" textRotation="0" wrapText="false" indent="0" shrinkToFit="false"/>
      <protection locked="true" hidden="false"/>
    </xf>
    <xf numFmtId="172" fontId="4" fillId="0" borderId="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false">
      <alignment horizontal="right" vertical="bottom" textRotation="0" wrapText="false" indent="0" shrinkToFit="false"/>
      <protection locked="true" hidden="false"/>
    </xf>
    <xf numFmtId="164" fontId="0" fillId="4" borderId="1" xfId="0" applyFont="false" applyBorder="true" applyAlignment="true" applyProtection="false">
      <alignment horizontal="center" vertical="bottom" textRotation="0" wrapText="false" indent="0" shrinkToFit="false"/>
      <protection locked="true" hidden="false"/>
    </xf>
    <xf numFmtId="172" fontId="0" fillId="0" borderId="1" xfId="19" applyFont="true" applyBorder="true" applyAlignment="true" applyProtection="true">
      <alignment horizontal="general" vertical="bottom" textRotation="0" wrapText="false" indent="0" shrinkToFit="false"/>
      <protection locked="true" hidden="false"/>
    </xf>
    <xf numFmtId="172" fontId="4" fillId="0" borderId="1" xfId="19" applyFont="true" applyBorder="true" applyAlignment="true" applyProtection="true">
      <alignment horizontal="general" vertical="bottom"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5">
    <dxf>
      <font>
        <color rgb="00FFFFFF"/>
      </font>
      <fill>
        <patternFill>
          <bgColor theme="9" tint="0.5999"/>
        </patternFill>
      </fill>
    </dxf>
    <dxf>
      <fill>
        <patternFill>
          <bgColor theme="9" tint="0.5999"/>
        </patternFill>
      </fill>
    </dxf>
    <dxf>
      <fill>
        <patternFill patternType="solid">
          <bgColor rgb="FF000000"/>
        </patternFill>
      </fill>
    </dxf>
    <dxf>
      <fill>
        <patternFill patternType="solid">
          <fgColor rgb="FF000000"/>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BE3D6"/>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B4E5A2"/>
      <rgbColor rgb="FFFFFF99"/>
      <rgbColor rgb="FF96DCF8"/>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14</xdr:col>
      <xdr:colOff>594000</xdr:colOff>
      <xdr:row>1</xdr:row>
      <xdr:rowOff>92880</xdr:rowOff>
    </xdr:from>
    <xdr:to>
      <xdr:col>17</xdr:col>
      <xdr:colOff>100440</xdr:colOff>
      <xdr:row>5</xdr:row>
      <xdr:rowOff>145080</xdr:rowOff>
    </xdr:to>
    <xdr:sp>
      <xdr:nvSpPr>
        <xdr:cNvPr id="0" name="Rectangle: Rounded Corners 1"/>
        <xdr:cNvSpPr/>
      </xdr:nvSpPr>
      <xdr:spPr>
        <a:xfrm>
          <a:off x="16135560" y="264240"/>
          <a:ext cx="1510560" cy="746280"/>
        </a:xfrm>
        <a:prstGeom prst="roundRect">
          <a:avLst>
            <a:gd name="adj" fmla="val 16667"/>
          </a:avLst>
        </a:prstGeom>
        <a:solidFill>
          <a:srgbClr val="e97132"/>
        </a:solidFill>
        <a:ln w="19050">
          <a:solidFill>
            <a:srgbClr val="663115"/>
          </a:solidFill>
          <a:miter/>
        </a:ln>
      </xdr:spPr>
      <xdr:style>
        <a:lnRef idx="2">
          <a:schemeClr val="accent2">
            <a:shade val="15000"/>
          </a:schemeClr>
        </a:lnRef>
        <a:fillRef idx="1">
          <a:schemeClr val="accent2"/>
        </a:fillRef>
        <a:effectRef idx="0">
          <a:schemeClr val="accent2"/>
        </a:effectRef>
        <a:fontRef idx="minor"/>
      </xdr:style>
      <xdr:txBody>
        <a:bodyPr horzOverflow="clip" vertOverflow="clip" lIns="90000" rIns="90000" tIns="45000" bIns="45000" anchor="ctr">
          <a:noAutofit/>
        </a:bodyPr>
        <a:p>
          <a:pPr algn="ctr">
            <a:lnSpc>
              <a:spcPct val="100000"/>
            </a:lnSpc>
          </a:pPr>
          <a:r>
            <a:rPr b="0" lang="en-GB" sz="1400" spc="-1" strike="noStrike">
              <a:solidFill>
                <a:srgbClr val="000000"/>
              </a:solidFill>
              <a:latin typeface="Aptos Narrow"/>
            </a:rPr>
            <a:t>ADMIN USE ONLY</a:t>
          </a:r>
          <a:endParaRPr b="0" lang="es-ES" sz="14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pitchFamily="0" charset="1"/>
        <a:ea typeface=""/>
        <a:cs typeface=""/>
      </a:majorFont>
      <a:minorFont>
        <a:latin typeface="Aptos Narrow" panose="0211000402020202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98"/>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11" topLeftCell="A12" activePane="bottomLeft" state="frozen"/>
      <selection pane="topLeft" activeCell="A1" activeCellId="0" sqref="A1"/>
      <selection pane="bottomLeft" activeCell="A76" activeCellId="0" sqref="A76"/>
    </sheetView>
  </sheetViews>
  <sheetFormatPr defaultColWidth="8.625" defaultRowHeight="13.5" zeroHeight="false" outlineLevelRow="0" outlineLevelCol="0"/>
  <cols>
    <col collapsed="false" customWidth="true" hidden="false" outlineLevel="0" max="1" min="1" style="0" width="20.75"/>
    <col collapsed="false" customWidth="true" hidden="false" outlineLevel="0" max="2" min="2" style="0" width="33.62"/>
    <col collapsed="false" customWidth="true" hidden="false" outlineLevel="0" max="3" min="3" style="0" width="12.88"/>
    <col collapsed="false" customWidth="true" hidden="false" outlineLevel="0" max="5" min="5" style="0" width="35.38"/>
    <col collapsed="false" customWidth="true" hidden="false" outlineLevel="0" max="6" min="6" style="0" width="20.38"/>
  </cols>
  <sheetData>
    <row r="1" customFormat="false" ht="13.5" hidden="false" customHeight="false" outlineLevel="0" collapsed="false">
      <c r="A1" s="1" t="s">
        <v>0</v>
      </c>
    </row>
    <row r="3" customFormat="false" ht="14.15" hidden="false" customHeight="false" outlineLevel="0" collapsed="false">
      <c r="A3" s="2" t="s">
        <v>1</v>
      </c>
      <c r="B3" s="3"/>
      <c r="D3" s="4" t="s">
        <v>2</v>
      </c>
      <c r="E3" s="4" t="s">
        <v>3</v>
      </c>
      <c r="F3" s="4" t="s">
        <v>4</v>
      </c>
    </row>
    <row r="4" customFormat="false" ht="13.5" hidden="false" customHeight="false" outlineLevel="0" collapsed="false">
      <c r="A4" s="2" t="s">
        <v>5</v>
      </c>
      <c r="B4" s="5"/>
      <c r="D4" s="6" t="n">
        <v>1</v>
      </c>
      <c r="E4" s="7" t="s">
        <v>6</v>
      </c>
      <c r="F4" s="8"/>
    </row>
    <row r="5" customFormat="false" ht="13.5" hidden="false" customHeight="false" outlineLevel="0" collapsed="false">
      <c r="D5" s="9" t="n">
        <v>2</v>
      </c>
      <c r="E5" s="10" t="s">
        <v>7</v>
      </c>
      <c r="F5" s="8"/>
    </row>
    <row r="6" customFormat="false" ht="13.5" hidden="false" customHeight="false" outlineLevel="0" collapsed="false">
      <c r="D6" s="9" t="n">
        <v>3</v>
      </c>
      <c r="E6" s="10" t="s">
        <v>8</v>
      </c>
      <c r="F6" s="8"/>
      <c r="I6" s="11" t="s">
        <v>9</v>
      </c>
    </row>
    <row r="7" customFormat="false" ht="13.5" hidden="false" customHeight="false" outlineLevel="0" collapsed="false">
      <c r="D7" s="9" t="n">
        <v>4</v>
      </c>
      <c r="E7" s="10" t="s">
        <v>10</v>
      </c>
      <c r="F7" s="8"/>
    </row>
    <row r="8" customFormat="false" ht="13.5" hidden="false" customHeight="false" outlineLevel="0" collapsed="false">
      <c r="D8" s="9" t="n">
        <v>5</v>
      </c>
      <c r="E8" s="10" t="s">
        <v>11</v>
      </c>
      <c r="F8" s="8"/>
    </row>
    <row r="9" customFormat="false" ht="13.5" hidden="false" customHeight="false" outlineLevel="0" collapsed="false">
      <c r="D9" s="9" t="n">
        <v>6</v>
      </c>
      <c r="E9" s="10" t="s">
        <v>12</v>
      </c>
      <c r="F9" s="8"/>
    </row>
    <row r="10" customFormat="false" ht="13.5" hidden="false" customHeight="false" outlineLevel="0" collapsed="false">
      <c r="D10" s="12" t="n">
        <v>7</v>
      </c>
      <c r="E10" s="13" t="s">
        <v>13</v>
      </c>
      <c r="F10" s="8"/>
    </row>
    <row r="13" customFormat="false" ht="13.5" hidden="false" customHeight="false" outlineLevel="0" collapsed="false">
      <c r="A13" s="14" t="s">
        <v>14</v>
      </c>
    </row>
    <row r="15" customFormat="false" ht="13.5" hidden="false" customHeight="false" outlineLevel="0" collapsed="false">
      <c r="A15" s="1" t="s">
        <v>15</v>
      </c>
    </row>
    <row r="16" customFormat="false" ht="8.25" hidden="false" customHeight="true" outlineLevel="0" collapsed="false"/>
    <row r="17" customFormat="false" ht="13.5" hidden="false" customHeight="false" outlineLevel="0" collapsed="false">
      <c r="A17" s="0" t="s">
        <v>16</v>
      </c>
    </row>
    <row r="18" customFormat="false" ht="7.5" hidden="false" customHeight="true" outlineLevel="0" collapsed="false"/>
    <row r="19" customFormat="false" ht="13.5" hidden="false" customHeight="false" outlineLevel="0" collapsed="false">
      <c r="A19" s="0" t="s">
        <v>17</v>
      </c>
    </row>
    <row r="20" customFormat="false" ht="9" hidden="false" customHeight="true" outlineLevel="0" collapsed="false"/>
    <row r="21" customFormat="false" ht="13.5" hidden="false" customHeight="false" outlineLevel="0" collapsed="false">
      <c r="A21" s="0" t="s">
        <v>18</v>
      </c>
    </row>
    <row r="22" customFormat="false" ht="9" hidden="false" customHeight="true" outlineLevel="0" collapsed="false"/>
    <row r="23" customFormat="false" ht="13.5" hidden="false" customHeight="false" outlineLevel="0" collapsed="false">
      <c r="A23" s="0" t="s">
        <v>19</v>
      </c>
    </row>
    <row r="24" customFormat="false" ht="9" hidden="false" customHeight="true" outlineLevel="0" collapsed="false"/>
    <row r="25" customFormat="false" ht="13.5" hidden="false" customHeight="false" outlineLevel="0" collapsed="false">
      <c r="A25" s="1" t="s">
        <v>20</v>
      </c>
    </row>
    <row r="27" customFormat="false" ht="13.5" hidden="false" customHeight="false" outlineLevel="0" collapsed="false">
      <c r="A27" s="15" t="s">
        <v>21</v>
      </c>
    </row>
    <row r="29" customFormat="false" ht="13.5" hidden="false" customHeight="false" outlineLevel="0" collapsed="false">
      <c r="A29" s="0" t="s">
        <v>22</v>
      </c>
    </row>
    <row r="31" customFormat="false" ht="13.5" hidden="false" customHeight="false" outlineLevel="0" collapsed="false">
      <c r="A31" s="15" t="s">
        <v>23</v>
      </c>
    </row>
    <row r="33" customFormat="false" ht="13.5" hidden="false" customHeight="false" outlineLevel="0" collapsed="false">
      <c r="A33" s="0" t="s">
        <v>24</v>
      </c>
    </row>
    <row r="35" customFormat="false" ht="49.5" hidden="false" customHeight="true" outlineLevel="0" collapsed="false">
      <c r="A35" s="16" t="s">
        <v>25</v>
      </c>
      <c r="B35" s="16" t="s">
        <v>26</v>
      </c>
    </row>
    <row r="36" customFormat="false" ht="13.5" hidden="false" customHeight="false" outlineLevel="0" collapsed="false">
      <c r="A36" s="6" t="n">
        <v>1</v>
      </c>
      <c r="B36" s="7" t="s">
        <v>27</v>
      </c>
    </row>
    <row r="37" customFormat="false" ht="13.5" hidden="false" customHeight="false" outlineLevel="0" collapsed="false">
      <c r="A37" s="9" t="n">
        <v>2</v>
      </c>
      <c r="B37" s="10" t="s">
        <v>28</v>
      </c>
    </row>
    <row r="38" customFormat="false" ht="13.5" hidden="false" customHeight="false" outlineLevel="0" collapsed="false">
      <c r="A38" s="9" t="n">
        <v>3</v>
      </c>
      <c r="B38" s="10" t="s">
        <v>29</v>
      </c>
    </row>
    <row r="39" customFormat="false" ht="13.5" hidden="false" customHeight="false" outlineLevel="0" collapsed="false">
      <c r="A39" s="9" t="n">
        <v>4</v>
      </c>
      <c r="B39" s="10" t="s">
        <v>30</v>
      </c>
    </row>
    <row r="40" customFormat="false" ht="13.5" hidden="false" customHeight="false" outlineLevel="0" collapsed="false">
      <c r="A40" s="9" t="n">
        <v>5</v>
      </c>
      <c r="B40" s="10" t="s">
        <v>31</v>
      </c>
    </row>
    <row r="41" customFormat="false" ht="13.5" hidden="false" customHeight="false" outlineLevel="0" collapsed="false">
      <c r="A41" s="12" t="n">
        <v>6</v>
      </c>
      <c r="B41" s="13" t="s">
        <v>32</v>
      </c>
    </row>
    <row r="44" customFormat="false" ht="13.5" hidden="false" customHeight="false" outlineLevel="0" collapsed="false">
      <c r="A44" s="15" t="s">
        <v>33</v>
      </c>
    </row>
    <row r="46" customFormat="false" ht="13.5" hidden="false" customHeight="false" outlineLevel="0" collapsed="false">
      <c r="A46" s="0" t="s">
        <v>34</v>
      </c>
    </row>
    <row r="48" customFormat="false" ht="13.5" hidden="false" customHeight="false" outlineLevel="0" collapsed="false">
      <c r="A48" s="0" t="s">
        <v>35</v>
      </c>
    </row>
    <row r="49" customFormat="false" ht="13.5" hidden="false" customHeight="false" outlineLevel="0" collapsed="false">
      <c r="A49" s="0" t="s">
        <v>36</v>
      </c>
    </row>
    <row r="50" customFormat="false" ht="13.5" hidden="false" customHeight="false" outlineLevel="0" collapsed="false">
      <c r="A50" s="0" t="s">
        <v>37</v>
      </c>
    </row>
    <row r="51" customFormat="false" ht="13.5" hidden="false" customHeight="false" outlineLevel="0" collapsed="false">
      <c r="A51" s="0" t="s">
        <v>38</v>
      </c>
    </row>
    <row r="52" customFormat="false" ht="13.5" hidden="false" customHeight="false" outlineLevel="0" collapsed="false">
      <c r="A52" s="0" t="s">
        <v>39</v>
      </c>
    </row>
    <row r="53" customFormat="false" ht="13.5" hidden="false" customHeight="false" outlineLevel="0" collapsed="false">
      <c r="A53" s="0" t="s">
        <v>40</v>
      </c>
    </row>
    <row r="54" customFormat="false" ht="13.5" hidden="false" customHeight="false" outlineLevel="0" collapsed="false">
      <c r="A54" s="0" t="s">
        <v>41</v>
      </c>
    </row>
    <row r="57" customFormat="false" ht="13.5" hidden="false" customHeight="false" outlineLevel="0" collapsed="false">
      <c r="A57" s="0" t="s">
        <v>42</v>
      </c>
    </row>
    <row r="59" customFormat="false" ht="13.5" hidden="false" customHeight="false" outlineLevel="0" collapsed="false">
      <c r="A59" s="4" t="s">
        <v>43</v>
      </c>
      <c r="B59" s="17" t="s">
        <v>44</v>
      </c>
    </row>
    <row r="60" customFormat="false" ht="13.5" hidden="false" customHeight="false" outlineLevel="0" collapsed="false">
      <c r="A60" s="18" t="s">
        <v>45</v>
      </c>
      <c r="B60" s="18" t="s">
        <v>46</v>
      </c>
    </row>
    <row r="63" customFormat="false" ht="13.5" hidden="false" customHeight="false" outlineLevel="0" collapsed="false">
      <c r="A63" s="0" t="s">
        <v>47</v>
      </c>
    </row>
    <row r="65" customFormat="false" ht="13.5" hidden="false" customHeight="false" outlineLevel="0" collapsed="false">
      <c r="A65" s="4" t="s">
        <v>43</v>
      </c>
      <c r="B65" s="17" t="s">
        <v>44</v>
      </c>
    </row>
    <row r="66" customFormat="false" ht="13.5" hidden="false" customHeight="false" outlineLevel="0" collapsed="false">
      <c r="A66" s="18" t="s">
        <v>48</v>
      </c>
      <c r="B66" s="18" t="s">
        <v>49</v>
      </c>
    </row>
    <row r="69" customFormat="false" ht="13.5" hidden="false" customHeight="false" outlineLevel="0" collapsed="false">
      <c r="A69" s="14" t="s">
        <v>50</v>
      </c>
    </row>
    <row r="71" customFormat="false" ht="13.5" hidden="false" customHeight="false" outlineLevel="0" collapsed="false">
      <c r="A71" s="0" t="s">
        <v>51</v>
      </c>
    </row>
    <row r="74" customFormat="false" ht="13.5" hidden="false" customHeight="false" outlineLevel="0" collapsed="false">
      <c r="A74" s="14" t="s">
        <v>52</v>
      </c>
    </row>
    <row r="76" customFormat="false" ht="13.5" hidden="false" customHeight="false" outlineLevel="0" collapsed="false">
      <c r="A76" s="0" t="s">
        <v>53</v>
      </c>
    </row>
    <row r="77" customFormat="false" ht="13.5" hidden="false" customHeight="false" outlineLevel="0" collapsed="false">
      <c r="A77" s="0" t="s">
        <v>54</v>
      </c>
    </row>
    <row r="79" customFormat="false" ht="13.5" hidden="false" customHeight="false" outlineLevel="0" collapsed="false">
      <c r="A79" s="14" t="s">
        <v>55</v>
      </c>
    </row>
    <row r="81" customFormat="false" ht="13.5" hidden="false" customHeight="false" outlineLevel="0" collapsed="false">
      <c r="A81" s="0" t="s">
        <v>56</v>
      </c>
    </row>
    <row r="82" customFormat="false" ht="13.5" hidden="false" customHeight="false" outlineLevel="0" collapsed="false">
      <c r="A82" s="0" t="s">
        <v>57</v>
      </c>
    </row>
    <row r="84" customFormat="false" ht="13.5" hidden="false" customHeight="false" outlineLevel="0" collapsed="false">
      <c r="A84" s="2" t="s">
        <v>58</v>
      </c>
      <c r="B84" s="19" t="n">
        <v>10000000</v>
      </c>
    </row>
    <row r="86" customFormat="false" ht="13.5" hidden="false" customHeight="false" outlineLevel="0" collapsed="false">
      <c r="A86" s="0" t="s">
        <v>59</v>
      </c>
    </row>
    <row r="88" customFormat="false" ht="13.5" hidden="false" customHeight="false" outlineLevel="0" collapsed="false">
      <c r="A88" s="20"/>
      <c r="B88" s="20"/>
      <c r="C88" s="20"/>
      <c r="D88" s="20"/>
      <c r="E88" s="20"/>
    </row>
    <row r="89" customFormat="false" ht="13.5" hidden="false" customHeight="false" outlineLevel="0" collapsed="false">
      <c r="A89" s="21"/>
      <c r="B89" s="21"/>
      <c r="C89" s="21"/>
      <c r="D89" s="21"/>
      <c r="E89" s="21"/>
    </row>
    <row r="90" customFormat="false" ht="13.5" hidden="false" customHeight="false" outlineLevel="0" collapsed="false">
      <c r="A90" s="21"/>
      <c r="B90" s="21"/>
      <c r="C90" s="21"/>
      <c r="D90" s="21"/>
      <c r="E90" s="21"/>
    </row>
    <row r="91" customFormat="false" ht="13.5" hidden="false" customHeight="false" outlineLevel="0" collapsed="false">
      <c r="A91" s="21"/>
      <c r="B91" s="21"/>
      <c r="C91" s="21"/>
      <c r="D91" s="21"/>
      <c r="E91" s="21"/>
    </row>
    <row r="92" customFormat="false" ht="13.5" hidden="false" customHeight="false" outlineLevel="0" collapsed="false">
      <c r="A92" s="21"/>
      <c r="B92" s="21"/>
      <c r="C92" s="21"/>
      <c r="D92" s="21"/>
      <c r="E92" s="21"/>
    </row>
    <row r="93" customFormat="false" ht="13.5" hidden="false" customHeight="false" outlineLevel="0" collapsed="false">
      <c r="A93" s="22"/>
      <c r="B93" s="22"/>
      <c r="C93" s="22"/>
      <c r="D93" s="22"/>
      <c r="E93" s="22"/>
    </row>
    <row r="96" customFormat="false" ht="13.5" hidden="false" customHeight="false" outlineLevel="0" collapsed="false">
      <c r="A96" s="1" t="s">
        <v>60</v>
      </c>
    </row>
    <row r="98" customFormat="false" ht="13.5" hidden="false" customHeight="false" outlineLevel="0" collapsed="false">
      <c r="A98" s="0" t="s">
        <v>61</v>
      </c>
    </row>
  </sheetData>
  <mergeCells count="6">
    <mergeCell ref="A88:E88"/>
    <mergeCell ref="A89:E89"/>
    <mergeCell ref="A90:E90"/>
    <mergeCell ref="A91:E91"/>
    <mergeCell ref="A92:E92"/>
    <mergeCell ref="A93:E93"/>
  </mergeCells>
  <conditionalFormatting sqref="F4:F10">
    <cfRule type="cellIs" priority="2" operator="equal" aboveAverage="0" equalAverage="0" bottom="0" percent="0" rank="0" text="" dxfId="0">
      <formula>"Yes"</formula>
    </cfRule>
  </conditionalFormatting>
  <conditionalFormatting sqref="B3:B4">
    <cfRule type="expression" priority="3" aboveAverage="0" equalAverage="0" bottom="0" percent="0" rank="0" text="" dxfId="1">
      <formula>LEN(TRIM(B3))&gt;0</formula>
    </cfRule>
  </conditionalFormatting>
  <dataValidations count="1">
    <dataValidation allowBlank="true" errorStyle="stop" operator="between" showDropDown="false" showErrorMessage="true" showInputMessage="true" sqref="F4:F11 F16 F19:F20 F30" type="list">
      <formula1>"Yes,Unable To Complete"</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52"/>
  <sheetViews>
    <sheetView showFormulas="false" showGridLines="true" showRowColHeaders="true" showZeros="true" rightToLeft="false" tabSelected="false" showOutlineSymbols="true" defaultGridColor="true" view="normal" topLeftCell="C1" colorId="64" zoomScale="85" zoomScaleNormal="85" zoomScalePageLayoutView="100" workbookViewId="0">
      <pane xSplit="0" ySplit="4" topLeftCell="A5" activePane="bottomLeft" state="frozen"/>
      <selection pane="topLeft" activeCell="C1" activeCellId="0" sqref="C1"/>
      <selection pane="bottomLeft" activeCell="I5" activeCellId="0" sqref="I5"/>
    </sheetView>
  </sheetViews>
  <sheetFormatPr defaultColWidth="8.625" defaultRowHeight="13.5" zeroHeight="false" outlineLevelRow="0" outlineLevelCol="0"/>
  <cols>
    <col collapsed="false" customWidth="true" hidden="false" outlineLevel="0" max="4" min="3" style="0" width="21.38"/>
    <col collapsed="false" customWidth="true" hidden="false" outlineLevel="0" max="5" min="5" style="0" width="27.76"/>
    <col collapsed="false" customWidth="true" hidden="false" outlineLevel="0" max="9" min="6" style="0" width="11.75"/>
    <col collapsed="false" customWidth="true" hidden="false" outlineLevel="0" max="12" min="10" style="0" width="10.38"/>
    <col collapsed="false" customWidth="true" hidden="false" outlineLevel="0" max="13" min="13" style="0" width="10.62"/>
    <col collapsed="false" customWidth="true" hidden="false" outlineLevel="0" max="16" min="16" style="0" width="16.26"/>
    <col collapsed="false" customWidth="true" hidden="false" outlineLevel="0" max="17" min="17" style="0" width="18.38"/>
    <col collapsed="false" customWidth="true" hidden="false" outlineLevel="0" max="18" min="18" style="0" width="8.5"/>
  </cols>
  <sheetData>
    <row r="1" customFormat="false" ht="13.5" hidden="false" customHeight="false" outlineLevel="0" collapsed="false">
      <c r="A1" s="1" t="s">
        <v>0</v>
      </c>
    </row>
    <row r="2" customFormat="false" ht="13.5" hidden="false" customHeight="false" outlineLevel="0" collapsed="false">
      <c r="A2" s="1"/>
    </row>
    <row r="4" customFormat="false" ht="77.6" hidden="false" customHeight="false" outlineLevel="0" collapsed="false">
      <c r="A4" s="4" t="s">
        <v>25</v>
      </c>
      <c r="B4" s="17" t="s">
        <v>26</v>
      </c>
      <c r="C4" s="4" t="s">
        <v>43</v>
      </c>
      <c r="D4" s="17" t="s">
        <v>62</v>
      </c>
      <c r="E4" s="4" t="s">
        <v>63</v>
      </c>
      <c r="F4" s="4" t="s">
        <v>64</v>
      </c>
      <c r="G4" s="4" t="s">
        <v>65</v>
      </c>
      <c r="H4" s="4" t="s">
        <v>66</v>
      </c>
      <c r="I4" s="4" t="s">
        <v>67</v>
      </c>
      <c r="J4" s="17" t="s">
        <v>68</v>
      </c>
      <c r="K4" s="4" t="s">
        <v>69</v>
      </c>
      <c r="L4" s="17" t="s">
        <v>70</v>
      </c>
      <c r="M4" s="17" t="s">
        <v>71</v>
      </c>
    </row>
    <row r="5" customFormat="false" ht="13.5" hidden="false" customHeight="false" outlineLevel="0" collapsed="false">
      <c r="A5" s="23" t="n">
        <v>4</v>
      </c>
      <c r="B5" s="23"/>
      <c r="C5" s="11" t="s">
        <v>72</v>
      </c>
      <c r="E5" s="24" t="s">
        <v>73</v>
      </c>
      <c r="F5" s="25" t="n">
        <v>860987</v>
      </c>
      <c r="G5" s="25" t="n">
        <v>114900</v>
      </c>
      <c r="H5" s="25" t="n">
        <v>900848</v>
      </c>
      <c r="I5" s="25" t="n">
        <f aca="false">SUM(F5:H5)</f>
        <v>1876735</v>
      </c>
      <c r="K5" s="24" t="n">
        <v>12</v>
      </c>
    </row>
    <row r="6" customFormat="false" ht="13.5" hidden="false" customHeight="false" outlineLevel="0" collapsed="false">
      <c r="A6" s="23" t="n">
        <v>3</v>
      </c>
      <c r="B6" s="23"/>
      <c r="C6" s="11" t="s">
        <v>74</v>
      </c>
      <c r="E6" s="11" t="s">
        <v>75</v>
      </c>
      <c r="F6" s="25" t="n">
        <v>917141</v>
      </c>
      <c r="G6" s="25" t="n">
        <v>27120</v>
      </c>
      <c r="H6" s="25" t="n">
        <v>141633</v>
      </c>
      <c r="I6" s="25" t="n">
        <f aca="false">SUM(F6:H6)</f>
        <v>1085894</v>
      </c>
      <c r="K6" s="24" t="n">
        <v>24</v>
      </c>
    </row>
    <row r="7" customFormat="false" ht="13.5" hidden="false" customHeight="false" outlineLevel="0" collapsed="false">
      <c r="A7" s="23" t="n">
        <v>6</v>
      </c>
      <c r="B7" s="23"/>
      <c r="C7" s="11" t="s">
        <v>76</v>
      </c>
      <c r="E7" s="11" t="s">
        <v>77</v>
      </c>
      <c r="F7" s="25" t="n">
        <v>617787</v>
      </c>
      <c r="G7" s="25" t="n">
        <v>255726</v>
      </c>
      <c r="H7" s="25" t="n">
        <v>37927</v>
      </c>
      <c r="I7" s="25" t="n">
        <f aca="false">SUM(F7:H7)</f>
        <v>911440</v>
      </c>
      <c r="K7" s="24" t="n">
        <v>12</v>
      </c>
    </row>
    <row r="8" customFormat="false" ht="13.5" hidden="false" customHeight="false" outlineLevel="0" collapsed="false">
      <c r="A8" s="23" t="n">
        <v>3</v>
      </c>
      <c r="B8" s="23"/>
      <c r="C8" s="11" t="s">
        <v>78</v>
      </c>
      <c r="E8" s="11" t="s">
        <v>79</v>
      </c>
      <c r="F8" s="25" t="n">
        <v>776704</v>
      </c>
      <c r="G8" s="25" t="n">
        <v>900785</v>
      </c>
      <c r="H8" s="25" t="n">
        <v>947733</v>
      </c>
      <c r="I8" s="25" t="n">
        <f aca="false">SUM(F8:H8)</f>
        <v>2625222</v>
      </c>
      <c r="K8" s="24" t="n">
        <v>12</v>
      </c>
    </row>
    <row r="9" customFormat="false" ht="13.5" hidden="false" customHeight="false" outlineLevel="0" collapsed="false">
      <c r="A9" s="23" t="n">
        <v>3</v>
      </c>
      <c r="B9" s="23"/>
      <c r="C9" s="11" t="s">
        <v>80</v>
      </c>
      <c r="E9" s="11" t="s">
        <v>81</v>
      </c>
      <c r="F9" s="25" t="n">
        <v>786044</v>
      </c>
      <c r="G9" s="25" t="n">
        <v>772642</v>
      </c>
      <c r="H9" s="25" t="n">
        <v>901396</v>
      </c>
      <c r="I9" s="25" t="n">
        <f aca="false">SUM(F9:H9)</f>
        <v>2460082</v>
      </c>
      <c r="K9" s="24" t="n">
        <v>36</v>
      </c>
    </row>
    <row r="10" customFormat="false" ht="13.5" hidden="false" customHeight="false" outlineLevel="0" collapsed="false">
      <c r="A10" s="23" t="n">
        <v>4</v>
      </c>
      <c r="B10" s="23"/>
      <c r="C10" s="11" t="s">
        <v>82</v>
      </c>
      <c r="E10" s="11" t="s">
        <v>83</v>
      </c>
      <c r="F10" s="25" t="n">
        <v>685100</v>
      </c>
      <c r="G10" s="25" t="n">
        <v>416027</v>
      </c>
      <c r="H10" s="25" t="n">
        <v>409897</v>
      </c>
      <c r="I10" s="25" t="n">
        <f aca="false">SUM(F10:H10)</f>
        <v>1511024</v>
      </c>
      <c r="K10" s="24" t="n">
        <v>36</v>
      </c>
    </row>
    <row r="11" customFormat="false" ht="13.5" hidden="false" customHeight="false" outlineLevel="0" collapsed="false">
      <c r="A11" s="23" t="n">
        <v>4</v>
      </c>
      <c r="B11" s="23"/>
      <c r="C11" s="11" t="s">
        <v>84</v>
      </c>
      <c r="E11" s="11" t="s">
        <v>85</v>
      </c>
      <c r="F11" s="25" t="n">
        <v>53956</v>
      </c>
      <c r="G11" s="25" t="n">
        <v>564252</v>
      </c>
      <c r="H11" s="25" t="n">
        <v>357928</v>
      </c>
      <c r="I11" s="25" t="n">
        <f aca="false">SUM(F11:H11)</f>
        <v>976136</v>
      </c>
      <c r="K11" s="24" t="n">
        <v>12</v>
      </c>
    </row>
    <row r="12" customFormat="false" ht="13.5" hidden="false" customHeight="false" outlineLevel="0" collapsed="false">
      <c r="A12" s="23" t="n">
        <v>1</v>
      </c>
      <c r="B12" s="23"/>
      <c r="C12" s="11" t="s">
        <v>86</v>
      </c>
      <c r="E12" s="11" t="s">
        <v>87</v>
      </c>
      <c r="F12" s="25" t="n">
        <v>819399</v>
      </c>
      <c r="G12" s="25" t="n">
        <v>693226</v>
      </c>
      <c r="H12" s="25" t="n">
        <v>598380</v>
      </c>
      <c r="I12" s="25" t="n">
        <f aca="false">SUM(F12:H12)</f>
        <v>2111005</v>
      </c>
      <c r="K12" s="24" t="n">
        <v>12</v>
      </c>
    </row>
    <row r="13" customFormat="false" ht="13.5" hidden="false" customHeight="false" outlineLevel="0" collapsed="false">
      <c r="A13" s="23" t="n">
        <v>4</v>
      </c>
      <c r="B13" s="23"/>
      <c r="C13" s="11" t="s">
        <v>88</v>
      </c>
      <c r="E13" s="11" t="s">
        <v>89</v>
      </c>
      <c r="F13" s="25" t="n">
        <v>71963</v>
      </c>
      <c r="G13" s="25" t="n">
        <v>368847</v>
      </c>
      <c r="H13" s="25" t="n">
        <v>933532</v>
      </c>
      <c r="I13" s="25" t="n">
        <f aca="false">SUM(F13:H13)</f>
        <v>1374342</v>
      </c>
      <c r="K13" s="24" t="n">
        <v>12</v>
      </c>
    </row>
    <row r="14" customFormat="false" ht="13.5" hidden="false" customHeight="false" outlineLevel="0" collapsed="false">
      <c r="A14" s="23" t="n">
        <v>5</v>
      </c>
      <c r="B14" s="23"/>
      <c r="C14" s="11" t="s">
        <v>90</v>
      </c>
      <c r="E14" s="11" t="s">
        <v>91</v>
      </c>
      <c r="F14" s="25" t="n">
        <v>642162</v>
      </c>
      <c r="G14" s="25" t="n">
        <v>743470</v>
      </c>
      <c r="H14" s="25" t="n">
        <v>49574</v>
      </c>
      <c r="I14" s="25" t="n">
        <f aca="false">SUM(F14:H14)</f>
        <v>1435206</v>
      </c>
      <c r="K14" s="24" t="n">
        <v>12</v>
      </c>
    </row>
    <row r="15" customFormat="false" ht="13.5" hidden="false" customHeight="false" outlineLevel="0" collapsed="false">
      <c r="A15" s="23" t="n">
        <v>6</v>
      </c>
      <c r="B15" s="23"/>
      <c r="C15" s="11" t="s">
        <v>92</v>
      </c>
      <c r="E15" s="11" t="s">
        <v>93</v>
      </c>
      <c r="F15" s="25" t="n">
        <v>381832</v>
      </c>
      <c r="G15" s="25" t="n">
        <v>412069</v>
      </c>
      <c r="H15" s="25" t="n">
        <v>738365</v>
      </c>
      <c r="I15" s="25" t="n">
        <f aca="false">SUM(F15:H15)</f>
        <v>1532266</v>
      </c>
      <c r="K15" s="24" t="n">
        <v>18</v>
      </c>
    </row>
    <row r="16" customFormat="false" ht="13.5" hidden="false" customHeight="false" outlineLevel="0" collapsed="false">
      <c r="A16" s="23" t="n">
        <v>5</v>
      </c>
      <c r="B16" s="23"/>
      <c r="C16" s="11" t="s">
        <v>94</v>
      </c>
      <c r="E16" s="11" t="s">
        <v>95</v>
      </c>
      <c r="F16" s="25" t="n">
        <v>988790</v>
      </c>
      <c r="G16" s="25" t="n">
        <v>573087</v>
      </c>
      <c r="H16" s="25" t="n">
        <v>932111</v>
      </c>
      <c r="I16" s="25" t="n">
        <f aca="false">SUM(F16:H16)</f>
        <v>2493988</v>
      </c>
      <c r="K16" s="24" t="n">
        <v>12</v>
      </c>
    </row>
    <row r="17" customFormat="false" ht="13.5" hidden="false" customHeight="false" outlineLevel="0" collapsed="false">
      <c r="A17" s="23" t="n">
        <v>3</v>
      </c>
      <c r="B17" s="23"/>
      <c r="C17" s="11" t="s">
        <v>96</v>
      </c>
      <c r="E17" s="11" t="s">
        <v>97</v>
      </c>
      <c r="F17" s="25" t="n">
        <v>599171</v>
      </c>
      <c r="G17" s="25" t="n">
        <v>113365</v>
      </c>
      <c r="H17" s="25" t="n">
        <v>525330</v>
      </c>
      <c r="I17" s="25" t="n">
        <f aca="false">SUM(F17:H17)</f>
        <v>1237866</v>
      </c>
      <c r="K17" s="24" t="n">
        <v>12</v>
      </c>
    </row>
    <row r="18" customFormat="false" ht="13.5" hidden="false" customHeight="false" outlineLevel="0" collapsed="false">
      <c r="A18" s="23" t="n">
        <v>2</v>
      </c>
      <c r="B18" s="23"/>
      <c r="C18" s="11" t="s">
        <v>98</v>
      </c>
      <c r="E18" s="11" t="s">
        <v>99</v>
      </c>
      <c r="F18" s="25" t="n">
        <v>399740</v>
      </c>
      <c r="G18" s="25" t="n">
        <v>997766</v>
      </c>
      <c r="H18" s="25" t="n">
        <v>998673</v>
      </c>
      <c r="I18" s="25" t="n">
        <f aca="false">SUM(F18:H18)</f>
        <v>2396179</v>
      </c>
      <c r="K18" s="24" t="n">
        <v>12</v>
      </c>
    </row>
    <row r="19" customFormat="false" ht="13.5" hidden="false" customHeight="false" outlineLevel="0" collapsed="false">
      <c r="A19" s="23" t="n">
        <v>6</v>
      </c>
      <c r="B19" s="23"/>
      <c r="C19" s="11" t="s">
        <v>100</v>
      </c>
      <c r="E19" s="11" t="s">
        <v>101</v>
      </c>
      <c r="F19" s="25" t="n">
        <v>73001</v>
      </c>
      <c r="G19" s="25" t="n">
        <v>918657</v>
      </c>
      <c r="H19" s="25" t="n">
        <v>787616</v>
      </c>
      <c r="I19" s="25" t="n">
        <f aca="false">SUM(F19:H19)</f>
        <v>1779274</v>
      </c>
      <c r="K19" s="24" t="n">
        <v>12</v>
      </c>
    </row>
    <row r="20" customFormat="false" ht="13.5" hidden="false" customHeight="false" outlineLevel="0" collapsed="false">
      <c r="A20" s="23" t="n">
        <v>6</v>
      </c>
      <c r="B20" s="23"/>
      <c r="C20" s="11" t="s">
        <v>102</v>
      </c>
      <c r="E20" s="11" t="s">
        <v>103</v>
      </c>
      <c r="F20" s="25" t="n">
        <v>110090</v>
      </c>
      <c r="G20" s="25" t="n">
        <v>818257</v>
      </c>
      <c r="H20" s="25" t="n">
        <v>991061</v>
      </c>
      <c r="I20" s="25" t="n">
        <f aca="false">SUM(F20:H20)</f>
        <v>1919408</v>
      </c>
      <c r="K20" s="24" t="n">
        <v>12</v>
      </c>
    </row>
    <row r="21" customFormat="false" ht="13.5" hidden="false" customHeight="false" outlineLevel="0" collapsed="false">
      <c r="A21" s="23" t="n">
        <v>5</v>
      </c>
      <c r="B21" s="23"/>
      <c r="C21" s="11" t="s">
        <v>104</v>
      </c>
      <c r="E21" s="11" t="s">
        <v>105</v>
      </c>
      <c r="F21" s="25" t="n">
        <v>649515</v>
      </c>
      <c r="G21" s="25" t="n">
        <v>595210</v>
      </c>
      <c r="H21" s="25" t="n">
        <v>903421</v>
      </c>
      <c r="I21" s="25" t="n">
        <f aca="false">SUM(F21:H21)</f>
        <v>2148146</v>
      </c>
      <c r="K21" s="24" t="n">
        <v>12</v>
      </c>
    </row>
    <row r="22" customFormat="false" ht="13.5" hidden="false" customHeight="false" outlineLevel="0" collapsed="false">
      <c r="A22" s="23" t="n">
        <v>6</v>
      </c>
      <c r="B22" s="23"/>
      <c r="C22" s="11" t="s">
        <v>106</v>
      </c>
      <c r="E22" s="11" t="s">
        <v>107</v>
      </c>
      <c r="F22" s="25" t="n">
        <v>855188</v>
      </c>
      <c r="G22" s="25" t="n">
        <v>626326</v>
      </c>
      <c r="H22" s="25" t="n">
        <v>53986</v>
      </c>
      <c r="I22" s="25" t="n">
        <f aca="false">SUM(F22:H22)</f>
        <v>1535500</v>
      </c>
      <c r="K22" s="24" t="n">
        <v>36</v>
      </c>
    </row>
    <row r="23" customFormat="false" ht="13.5" hidden="false" customHeight="false" outlineLevel="0" collapsed="false">
      <c r="A23" s="23" t="n">
        <v>5</v>
      </c>
      <c r="B23" s="23"/>
      <c r="C23" s="11" t="s">
        <v>108</v>
      </c>
      <c r="E23" s="11" t="s">
        <v>109</v>
      </c>
      <c r="F23" s="25" t="n">
        <v>802364</v>
      </c>
      <c r="G23" s="25" t="n">
        <v>316112</v>
      </c>
      <c r="H23" s="25" t="n">
        <v>815866</v>
      </c>
      <c r="I23" s="25" t="n">
        <f aca="false">SUM(F23:H23)</f>
        <v>1934342</v>
      </c>
      <c r="K23" s="24" t="n">
        <v>36</v>
      </c>
    </row>
    <row r="24" customFormat="false" ht="13.5" hidden="false" customHeight="false" outlineLevel="0" collapsed="false">
      <c r="A24" s="23" t="n">
        <v>6</v>
      </c>
      <c r="B24" s="23"/>
      <c r="C24" s="11" t="s">
        <v>110</v>
      </c>
      <c r="E24" s="11" t="s">
        <v>111</v>
      </c>
      <c r="F24" s="25" t="n">
        <v>801679</v>
      </c>
      <c r="G24" s="25" t="n">
        <v>350321</v>
      </c>
      <c r="H24" s="25" t="n">
        <v>557708</v>
      </c>
      <c r="I24" s="25" t="n">
        <f aca="false">SUM(F24:H24)</f>
        <v>1709708</v>
      </c>
      <c r="K24" s="24" t="n">
        <v>36</v>
      </c>
    </row>
    <row r="25" customFormat="false" ht="13.5" hidden="false" customHeight="false" outlineLevel="0" collapsed="false">
      <c r="A25" s="23" t="n">
        <v>5</v>
      </c>
      <c r="B25" s="23"/>
      <c r="C25" s="11" t="s">
        <v>112</v>
      </c>
      <c r="E25" s="11" t="s">
        <v>113</v>
      </c>
      <c r="F25" s="25" t="n">
        <v>819779</v>
      </c>
      <c r="G25" s="25" t="n">
        <v>288197</v>
      </c>
      <c r="H25" s="25" t="n">
        <v>213817</v>
      </c>
      <c r="I25" s="25" t="n">
        <f aca="false">SUM(F25:H25)</f>
        <v>1321793</v>
      </c>
      <c r="K25" s="24" t="n">
        <v>12</v>
      </c>
    </row>
    <row r="26" customFormat="false" ht="13.5" hidden="false" customHeight="false" outlineLevel="0" collapsed="false">
      <c r="A26" s="23" t="n">
        <v>3</v>
      </c>
      <c r="B26" s="23"/>
      <c r="C26" s="11" t="s">
        <v>114</v>
      </c>
      <c r="E26" s="11" t="s">
        <v>115</v>
      </c>
      <c r="F26" s="25" t="n">
        <v>416405</v>
      </c>
      <c r="G26" s="25" t="n">
        <v>673955</v>
      </c>
      <c r="H26" s="25" t="n">
        <v>15575</v>
      </c>
      <c r="I26" s="25" t="n">
        <f aca="false">SUM(F26:H26)</f>
        <v>1105935</v>
      </c>
      <c r="K26" s="24" t="n">
        <v>12</v>
      </c>
    </row>
    <row r="27" customFormat="false" ht="13.5" hidden="false" customHeight="false" outlineLevel="0" collapsed="false">
      <c r="A27" s="23" t="n">
        <v>2</v>
      </c>
      <c r="B27" s="23"/>
      <c r="C27" s="11" t="s">
        <v>116</v>
      </c>
      <c r="E27" s="11" t="s">
        <v>117</v>
      </c>
      <c r="F27" s="25" t="n">
        <v>129325</v>
      </c>
      <c r="G27" s="25" t="n">
        <v>795377</v>
      </c>
      <c r="H27" s="25" t="n">
        <v>616367</v>
      </c>
      <c r="I27" s="25" t="n">
        <f aca="false">SUM(F27:H27)</f>
        <v>1541069</v>
      </c>
      <c r="K27" s="24" t="n">
        <v>12</v>
      </c>
    </row>
    <row r="28" customFormat="false" ht="13.5" hidden="false" customHeight="false" outlineLevel="0" collapsed="false">
      <c r="A28" s="23" t="n">
        <v>3</v>
      </c>
      <c r="B28" s="23"/>
      <c r="C28" s="11" t="s">
        <v>118</v>
      </c>
      <c r="E28" s="11" t="s">
        <v>119</v>
      </c>
      <c r="F28" s="25" t="n">
        <v>754511</v>
      </c>
      <c r="G28" s="25" t="n">
        <v>249744</v>
      </c>
      <c r="H28" s="25" t="n">
        <v>679050</v>
      </c>
      <c r="I28" s="25" t="n">
        <f aca="false">SUM(F28:H28)</f>
        <v>1683305</v>
      </c>
      <c r="K28" s="24" t="n">
        <v>12</v>
      </c>
    </row>
    <row r="29" customFormat="false" ht="13.5" hidden="false" customHeight="false" outlineLevel="0" collapsed="false">
      <c r="A29" s="23" t="n">
        <v>3</v>
      </c>
      <c r="B29" s="23"/>
      <c r="C29" s="11" t="s">
        <v>120</v>
      </c>
      <c r="E29" s="11" t="s">
        <v>121</v>
      </c>
      <c r="F29" s="25" t="n">
        <v>250992</v>
      </c>
      <c r="G29" s="25" t="n">
        <v>744912</v>
      </c>
      <c r="H29" s="25" t="n">
        <v>85596</v>
      </c>
      <c r="I29" s="25" t="n">
        <f aca="false">SUM(F29:H29)</f>
        <v>1081500</v>
      </c>
      <c r="K29" s="24" t="n">
        <v>12</v>
      </c>
    </row>
    <row r="30" customFormat="false" ht="13.5" hidden="false" customHeight="false" outlineLevel="0" collapsed="false">
      <c r="A30" s="23" t="n">
        <v>5</v>
      </c>
      <c r="B30" s="23"/>
      <c r="C30" s="11" t="s">
        <v>122</v>
      </c>
      <c r="E30" s="11" t="s">
        <v>123</v>
      </c>
      <c r="F30" s="25" t="n">
        <v>605058</v>
      </c>
      <c r="G30" s="25" t="n">
        <v>178831</v>
      </c>
      <c r="H30" s="25" t="n">
        <v>845362</v>
      </c>
      <c r="I30" s="25" t="n">
        <f aca="false">SUM(F30:H30)</f>
        <v>1629251</v>
      </c>
      <c r="K30" s="24" t="n">
        <v>12</v>
      </c>
    </row>
    <row r="31" customFormat="false" ht="13.5" hidden="false" customHeight="false" outlineLevel="0" collapsed="false">
      <c r="A31" s="23" t="n">
        <v>5</v>
      </c>
      <c r="B31" s="23"/>
      <c r="C31" s="11" t="s">
        <v>124</v>
      </c>
      <c r="E31" s="11" t="s">
        <v>125</v>
      </c>
      <c r="F31" s="25" t="n">
        <v>305105</v>
      </c>
      <c r="G31" s="25" t="n">
        <v>642147</v>
      </c>
      <c r="H31" s="25" t="n">
        <v>712378</v>
      </c>
      <c r="I31" s="25" t="n">
        <f aca="false">SUM(F31:H31)</f>
        <v>1659630</v>
      </c>
      <c r="K31" s="24" t="n">
        <v>12</v>
      </c>
    </row>
    <row r="32" customFormat="false" ht="13.5" hidden="false" customHeight="false" outlineLevel="0" collapsed="false">
      <c r="A32" s="23" t="n">
        <v>1</v>
      </c>
      <c r="B32" s="23"/>
      <c r="C32" s="11" t="s">
        <v>126</v>
      </c>
      <c r="E32" s="11" t="s">
        <v>127</v>
      </c>
      <c r="F32" s="25" t="n">
        <v>503763</v>
      </c>
      <c r="G32" s="25" t="n">
        <v>95136</v>
      </c>
      <c r="H32" s="25" t="n">
        <v>621836</v>
      </c>
      <c r="I32" s="25" t="n">
        <f aca="false">SUM(F32:H32)</f>
        <v>1220735</v>
      </c>
      <c r="K32" s="24" t="n">
        <v>12</v>
      </c>
    </row>
    <row r="33" customFormat="false" ht="13.5" hidden="false" customHeight="false" outlineLevel="0" collapsed="false">
      <c r="A33" s="23" t="n">
        <v>6</v>
      </c>
      <c r="B33" s="23"/>
      <c r="C33" s="11" t="s">
        <v>128</v>
      </c>
      <c r="E33" s="11" t="s">
        <v>129</v>
      </c>
      <c r="F33" s="25" t="n">
        <v>940037</v>
      </c>
      <c r="G33" s="25" t="n">
        <v>652789</v>
      </c>
      <c r="H33" s="25" t="n">
        <v>128281</v>
      </c>
      <c r="I33" s="25" t="n">
        <f aca="false">SUM(F33:H33)</f>
        <v>1721107</v>
      </c>
      <c r="K33" s="24" t="n">
        <v>12</v>
      </c>
    </row>
    <row r="34" customFormat="false" ht="13.5" hidden="false" customHeight="false" outlineLevel="0" collapsed="false">
      <c r="A34" s="23" t="n">
        <v>5</v>
      </c>
      <c r="B34" s="23"/>
      <c r="C34" s="11" t="s">
        <v>130</v>
      </c>
      <c r="E34" s="11" t="s">
        <v>131</v>
      </c>
      <c r="F34" s="25" t="n">
        <v>631182</v>
      </c>
      <c r="G34" s="25" t="n">
        <v>97640</v>
      </c>
      <c r="H34" s="25" t="n">
        <v>570699</v>
      </c>
      <c r="I34" s="25" t="n">
        <f aca="false">SUM(F34:H34)</f>
        <v>1299521</v>
      </c>
      <c r="K34" s="24" t="n">
        <v>18</v>
      </c>
    </row>
    <row r="35" customFormat="false" ht="13.5" hidden="false" customHeight="false" outlineLevel="0" collapsed="false">
      <c r="A35" s="23" t="n">
        <v>5</v>
      </c>
      <c r="B35" s="23"/>
      <c r="C35" s="11" t="s">
        <v>132</v>
      </c>
      <c r="E35" s="11" t="s">
        <v>133</v>
      </c>
      <c r="F35" s="25" t="n">
        <v>273099</v>
      </c>
      <c r="G35" s="25" t="n">
        <v>162850</v>
      </c>
      <c r="H35" s="25" t="n">
        <v>300656</v>
      </c>
      <c r="I35" s="25" t="n">
        <f aca="false">SUM(F35:H35)</f>
        <v>736605</v>
      </c>
      <c r="K35" s="24" t="n">
        <v>18</v>
      </c>
    </row>
    <row r="36" customFormat="false" ht="13.5" hidden="false" customHeight="false" outlineLevel="0" collapsed="false">
      <c r="A36" s="23" t="n">
        <v>2</v>
      </c>
      <c r="B36" s="23"/>
      <c r="C36" s="11" t="s">
        <v>134</v>
      </c>
      <c r="E36" s="11" t="s">
        <v>135</v>
      </c>
      <c r="F36" s="25" t="n">
        <v>914535</v>
      </c>
      <c r="G36" s="25" t="n">
        <v>216333</v>
      </c>
      <c r="H36" s="25" t="n">
        <v>759668</v>
      </c>
      <c r="I36" s="25" t="n">
        <f aca="false">SUM(F36:H36)</f>
        <v>1890536</v>
      </c>
      <c r="K36" s="24" t="n">
        <v>18</v>
      </c>
    </row>
    <row r="37" customFormat="false" ht="13.5" hidden="false" customHeight="false" outlineLevel="0" collapsed="false">
      <c r="A37" s="23" t="n">
        <v>2</v>
      </c>
      <c r="B37" s="23"/>
      <c r="C37" s="11" t="s">
        <v>136</v>
      </c>
      <c r="E37" s="11" t="s">
        <v>137</v>
      </c>
      <c r="F37" s="25" t="n">
        <v>934287</v>
      </c>
      <c r="G37" s="25" t="n">
        <v>810034</v>
      </c>
      <c r="H37" s="25" t="n">
        <v>343346</v>
      </c>
      <c r="I37" s="25" t="n">
        <f aca="false">SUM(F37:H37)</f>
        <v>2087667</v>
      </c>
      <c r="K37" s="24" t="n">
        <v>18</v>
      </c>
    </row>
    <row r="38" customFormat="false" ht="13.5" hidden="false" customHeight="false" outlineLevel="0" collapsed="false">
      <c r="A38" s="23" t="n">
        <v>5</v>
      </c>
      <c r="B38" s="23"/>
      <c r="C38" s="11" t="s">
        <v>138</v>
      </c>
      <c r="E38" s="11" t="s">
        <v>139</v>
      </c>
      <c r="F38" s="25" t="n">
        <v>553800</v>
      </c>
      <c r="G38" s="25" t="n">
        <v>945309</v>
      </c>
      <c r="H38" s="25" t="n">
        <v>141913</v>
      </c>
      <c r="I38" s="25" t="n">
        <f aca="false">SUM(F38:H38)</f>
        <v>1641022</v>
      </c>
      <c r="K38" s="24" t="n">
        <v>18</v>
      </c>
    </row>
    <row r="39" customFormat="false" ht="13.5" hidden="false" customHeight="false" outlineLevel="0" collapsed="false">
      <c r="A39" s="23" t="n">
        <v>4</v>
      </c>
      <c r="B39" s="23"/>
      <c r="C39" s="11" t="s">
        <v>140</v>
      </c>
      <c r="E39" s="11" t="s">
        <v>141</v>
      </c>
      <c r="F39" s="25" t="n">
        <v>743857</v>
      </c>
      <c r="G39" s="25" t="n">
        <v>824219</v>
      </c>
      <c r="H39" s="25" t="n">
        <v>617862</v>
      </c>
      <c r="I39" s="25" t="n">
        <f aca="false">SUM(F39:H39)</f>
        <v>2185938</v>
      </c>
      <c r="K39" s="24" t="n">
        <v>18</v>
      </c>
    </row>
    <row r="40" customFormat="false" ht="13.5" hidden="false" customHeight="false" outlineLevel="0" collapsed="false">
      <c r="A40" s="23" t="n">
        <v>5</v>
      </c>
      <c r="B40" s="23"/>
      <c r="C40" s="11" t="s">
        <v>142</v>
      </c>
      <c r="E40" s="11" t="s">
        <v>143</v>
      </c>
      <c r="F40" s="25" t="n">
        <v>24419</v>
      </c>
      <c r="G40" s="25" t="n">
        <v>888729</v>
      </c>
      <c r="H40" s="25" t="n">
        <v>875923</v>
      </c>
      <c r="I40" s="25" t="n">
        <f aca="false">SUM(F40:H40)</f>
        <v>1789071</v>
      </c>
      <c r="K40" s="24" t="n">
        <v>12</v>
      </c>
    </row>
    <row r="41" customFormat="false" ht="13.5" hidden="false" customHeight="false" outlineLevel="0" collapsed="false">
      <c r="A41" s="23" t="n">
        <v>2</v>
      </c>
      <c r="B41" s="23"/>
      <c r="C41" s="11" t="s">
        <v>48</v>
      </c>
      <c r="E41" s="11" t="s">
        <v>144</v>
      </c>
      <c r="F41" s="25" t="n">
        <v>278687</v>
      </c>
      <c r="G41" s="25" t="n">
        <v>334073</v>
      </c>
      <c r="H41" s="25" t="n">
        <v>933846</v>
      </c>
      <c r="I41" s="25" t="n">
        <f aca="false">SUM(F41:H41)</f>
        <v>1546606</v>
      </c>
      <c r="K41" s="24" t="n">
        <v>12</v>
      </c>
    </row>
    <row r="42" customFormat="false" ht="13.5" hidden="false" customHeight="false" outlineLevel="0" collapsed="false">
      <c r="A42" s="23" t="n">
        <v>1</v>
      </c>
      <c r="B42" s="23"/>
      <c r="C42" s="11" t="s">
        <v>145</v>
      </c>
      <c r="E42" s="11" t="s">
        <v>146</v>
      </c>
      <c r="F42" s="25" t="n">
        <v>465041</v>
      </c>
      <c r="G42" s="25" t="n">
        <v>89894</v>
      </c>
      <c r="H42" s="25" t="n">
        <v>587390</v>
      </c>
      <c r="I42" s="25" t="n">
        <f aca="false">SUM(F42:H42)</f>
        <v>1142325</v>
      </c>
      <c r="K42" s="24" t="n">
        <v>12</v>
      </c>
    </row>
    <row r="43" customFormat="false" ht="13.5" hidden="false" customHeight="false" outlineLevel="0" collapsed="false">
      <c r="A43" s="23" t="n">
        <v>3</v>
      </c>
      <c r="B43" s="23"/>
      <c r="C43" s="11" t="s">
        <v>147</v>
      </c>
      <c r="E43" s="11" t="s">
        <v>148</v>
      </c>
      <c r="F43" s="25" t="n">
        <v>210926</v>
      </c>
      <c r="G43" s="25" t="n">
        <v>876352</v>
      </c>
      <c r="H43" s="25" t="n">
        <v>124064</v>
      </c>
      <c r="I43" s="25" t="n">
        <f aca="false">SUM(F43:H43)</f>
        <v>1211342</v>
      </c>
      <c r="K43" s="24" t="n">
        <v>12</v>
      </c>
    </row>
    <row r="44" customFormat="false" ht="13.5" hidden="false" customHeight="false" outlineLevel="0" collapsed="false">
      <c r="A44" s="23" t="n">
        <v>3</v>
      </c>
      <c r="B44" s="23"/>
      <c r="C44" s="11" t="s">
        <v>45</v>
      </c>
      <c r="E44" s="11" t="s">
        <v>149</v>
      </c>
      <c r="F44" s="25" t="n">
        <v>604729</v>
      </c>
      <c r="G44" s="25" t="n">
        <v>84466</v>
      </c>
      <c r="H44" s="25" t="n">
        <v>616433</v>
      </c>
      <c r="I44" s="25" t="n">
        <f aca="false">SUM(F44:H44)</f>
        <v>1305628</v>
      </c>
      <c r="K44" s="24" t="n">
        <v>12</v>
      </c>
    </row>
    <row r="45" customFormat="false" ht="13.5" hidden="false" customHeight="false" outlineLevel="0" collapsed="false">
      <c r="A45" s="23" t="n">
        <v>2</v>
      </c>
      <c r="B45" s="23"/>
      <c r="C45" s="11" t="s">
        <v>150</v>
      </c>
      <c r="E45" s="11" t="s">
        <v>151</v>
      </c>
      <c r="F45" s="25" t="n">
        <v>585497</v>
      </c>
      <c r="G45" s="25" t="n">
        <v>889504</v>
      </c>
      <c r="H45" s="25" t="n">
        <v>128487</v>
      </c>
      <c r="I45" s="25" t="n">
        <f aca="false">SUM(F45:H45)</f>
        <v>1603488</v>
      </c>
      <c r="K45" s="24" t="n">
        <v>12</v>
      </c>
    </row>
    <row r="46" customFormat="false" ht="13.5" hidden="false" customHeight="false" outlineLevel="0" collapsed="false">
      <c r="A46" s="23" t="n">
        <v>4</v>
      </c>
      <c r="B46" s="23"/>
      <c r="C46" s="11" t="s">
        <v>152</v>
      </c>
      <c r="E46" s="11" t="s">
        <v>153</v>
      </c>
      <c r="F46" s="25" t="n">
        <v>857867</v>
      </c>
      <c r="G46" s="25" t="n">
        <v>10970</v>
      </c>
      <c r="H46" s="25" t="n">
        <v>71560</v>
      </c>
      <c r="I46" s="25" t="n">
        <f aca="false">SUM(F46:H46)</f>
        <v>940397</v>
      </c>
      <c r="K46" s="24" t="n">
        <v>24</v>
      </c>
    </row>
    <row r="47" customFormat="false" ht="13.5" hidden="false" customHeight="false" outlineLevel="0" collapsed="false">
      <c r="A47" s="23" t="n">
        <v>5</v>
      </c>
      <c r="B47" s="23"/>
      <c r="C47" s="11" t="s">
        <v>154</v>
      </c>
      <c r="E47" s="11" t="s">
        <v>155</v>
      </c>
      <c r="F47" s="25" t="n">
        <v>768065</v>
      </c>
      <c r="G47" s="25" t="n">
        <v>904615</v>
      </c>
      <c r="H47" s="25" t="n">
        <v>493017</v>
      </c>
      <c r="I47" s="25" t="n">
        <f aca="false">SUM(F47:H47)</f>
        <v>2165697</v>
      </c>
      <c r="K47" s="24" t="n">
        <v>24</v>
      </c>
    </row>
    <row r="48" customFormat="false" ht="13.5" hidden="false" customHeight="false" outlineLevel="0" collapsed="false">
      <c r="A48" s="23" t="n">
        <v>5</v>
      </c>
      <c r="B48" s="23"/>
      <c r="C48" s="11" t="s">
        <v>156</v>
      </c>
      <c r="E48" s="11" t="s">
        <v>157</v>
      </c>
      <c r="F48" s="25" t="n">
        <v>671312</v>
      </c>
      <c r="G48" s="25" t="n">
        <v>608993</v>
      </c>
      <c r="H48" s="25" t="n">
        <v>481648</v>
      </c>
      <c r="I48" s="25" t="n">
        <f aca="false">SUM(F48:H48)</f>
        <v>1761953</v>
      </c>
      <c r="K48" s="24" t="n">
        <v>24</v>
      </c>
    </row>
    <row r="49" customFormat="false" ht="13.5" hidden="false" customHeight="false" outlineLevel="0" collapsed="false">
      <c r="A49" s="23" t="n">
        <v>2</v>
      </c>
      <c r="B49" s="23"/>
      <c r="C49" s="11" t="s">
        <v>158</v>
      </c>
      <c r="E49" s="11" t="s">
        <v>159</v>
      </c>
      <c r="F49" s="25" t="n">
        <v>477070</v>
      </c>
      <c r="G49" s="25" t="n">
        <v>637457</v>
      </c>
      <c r="H49" s="25" t="n">
        <v>394527</v>
      </c>
      <c r="I49" s="25" t="n">
        <f aca="false">SUM(F49:H49)</f>
        <v>1509054</v>
      </c>
      <c r="K49" s="24" t="n">
        <v>24</v>
      </c>
    </row>
    <row r="50" customFormat="false" ht="13.5" hidden="false" customHeight="false" outlineLevel="0" collapsed="false">
      <c r="A50" s="23" t="n">
        <v>3</v>
      </c>
      <c r="B50" s="23"/>
      <c r="C50" s="11" t="s">
        <v>160</v>
      </c>
      <c r="E50" s="11" t="s">
        <v>161</v>
      </c>
      <c r="F50" s="25" t="n">
        <v>741836</v>
      </c>
      <c r="G50" s="25" t="n">
        <v>395516</v>
      </c>
      <c r="H50" s="25" t="n">
        <v>914708</v>
      </c>
      <c r="I50" s="25" t="n">
        <f aca="false">SUM(F50:H50)</f>
        <v>2052060</v>
      </c>
      <c r="K50" s="24" t="n">
        <v>12</v>
      </c>
    </row>
    <row r="51" customFormat="false" ht="13.5" hidden="false" customHeight="false" outlineLevel="0" collapsed="false">
      <c r="A51" s="23" t="n">
        <v>1</v>
      </c>
      <c r="B51" s="23"/>
      <c r="C51" s="11" t="s">
        <v>162</v>
      </c>
      <c r="E51" s="11" t="s">
        <v>163</v>
      </c>
      <c r="F51" s="25" t="n">
        <v>51206</v>
      </c>
      <c r="G51" s="25" t="n">
        <v>36507</v>
      </c>
      <c r="H51" s="25" t="n">
        <v>58308</v>
      </c>
      <c r="I51" s="25" t="n">
        <f aca="false">SUM(F51:H51)</f>
        <v>146021</v>
      </c>
      <c r="K51" s="24" t="n">
        <v>12</v>
      </c>
    </row>
    <row r="52" customFormat="false" ht="13.5" hidden="false" customHeight="false" outlineLevel="0" collapsed="false">
      <c r="E52" s="26" t="s">
        <v>164</v>
      </c>
      <c r="F52" s="27" t="n">
        <v>26405003</v>
      </c>
      <c r="G52" s="27" t="n">
        <v>23712714</v>
      </c>
      <c r="H52" s="27" t="n">
        <v>24915302</v>
      </c>
      <c r="I52" s="27" t="n">
        <v>78033019</v>
      </c>
      <c r="J52" s="27" t="n">
        <f aca="false">SUM(J5:J51)</f>
        <v>0</v>
      </c>
      <c r="L52" s="27" t="n">
        <f aca="false">SUM(L5:L51)</f>
        <v>0</v>
      </c>
      <c r="M52" s="27" t="n">
        <f aca="false">SUM(M5:M51)</f>
        <v>0</v>
      </c>
    </row>
  </sheetData>
  <autoFilter ref="A4:M52"/>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2" activeCellId="0" sqref="A2"/>
    </sheetView>
  </sheetViews>
  <sheetFormatPr defaultColWidth="8.625" defaultRowHeight="13.5" zeroHeight="false" outlineLevelRow="0" outlineLevelCol="0"/>
  <sheetData>
    <row r="1" customFormat="false" ht="13.5" hidden="false" customHeight="false" outlineLevel="0" collapsed="false">
      <c r="A1" s="1" t="s">
        <v>165</v>
      </c>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S5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16" activePane="bottomLeft" state="frozen"/>
      <selection pane="topLeft" activeCell="A1" activeCellId="0" sqref="A1"/>
      <selection pane="bottomLeft" activeCell="D5" activeCellId="0" sqref="D5"/>
    </sheetView>
  </sheetViews>
  <sheetFormatPr defaultColWidth="8.625" defaultRowHeight="13.5" zeroHeight="false" outlineLevelRow="0" outlineLevelCol="0"/>
  <cols>
    <col collapsed="false" customWidth="true" hidden="false" outlineLevel="0" max="2" min="2" style="0" width="10.26"/>
    <col collapsed="false" customWidth="true" hidden="false" outlineLevel="0" max="4" min="3" style="0" width="21.38"/>
    <col collapsed="false" customWidth="true" hidden="false" outlineLevel="0" max="5" min="5" style="0" width="27.76"/>
    <col collapsed="false" customWidth="true" hidden="false" outlineLevel="0" max="9" min="6" style="0" width="11.75"/>
    <col collapsed="false" customWidth="true" hidden="false" outlineLevel="0" max="12" min="10" style="0" width="10.38"/>
    <col collapsed="false" customWidth="true" hidden="false" outlineLevel="0" max="13" min="13" style="0" width="10.62"/>
    <col collapsed="false" customWidth="true" hidden="false" outlineLevel="0" max="19" min="15" style="0" width="6.62"/>
  </cols>
  <sheetData>
    <row r="1" customFormat="false" ht="13.5" hidden="false" customHeight="false" outlineLevel="0" collapsed="false">
      <c r="A1" s="1" t="s">
        <v>166</v>
      </c>
    </row>
    <row r="2" customFormat="false" ht="13.5" hidden="false" customHeight="false" outlineLevel="0" collapsed="false">
      <c r="A2" s="1"/>
    </row>
    <row r="4" customFormat="false" ht="77.6" hidden="false" customHeight="false" outlineLevel="0" collapsed="false">
      <c r="A4" s="4" t="s">
        <v>167</v>
      </c>
      <c r="B4" s="17" t="s">
        <v>168</v>
      </c>
      <c r="C4" s="4" t="s">
        <v>169</v>
      </c>
      <c r="D4" s="17" t="s">
        <v>170</v>
      </c>
      <c r="E4" s="4" t="s">
        <v>63</v>
      </c>
      <c r="F4" s="4" t="s">
        <v>171</v>
      </c>
      <c r="G4" s="4" t="s">
        <v>172</v>
      </c>
      <c r="H4" s="4" t="s">
        <v>173</v>
      </c>
      <c r="I4" s="4" t="s">
        <v>174</v>
      </c>
      <c r="J4" s="17" t="s">
        <v>175</v>
      </c>
      <c r="K4" s="4" t="s">
        <v>176</v>
      </c>
      <c r="L4" s="17" t="s">
        <v>177</v>
      </c>
      <c r="M4" s="17" t="s">
        <v>178</v>
      </c>
      <c r="O4" s="28" t="s">
        <v>179</v>
      </c>
      <c r="P4" s="28" t="s">
        <v>180</v>
      </c>
      <c r="Q4" s="28" t="s">
        <v>181</v>
      </c>
      <c r="R4" s="28" t="s">
        <v>182</v>
      </c>
      <c r="S4" s="28" t="s">
        <v>183</v>
      </c>
    </row>
    <row r="5" customFormat="false" ht="13.5" hidden="false" customHeight="false" outlineLevel="0" collapsed="false">
      <c r="A5" s="23" t="n">
        <v>4</v>
      </c>
      <c r="B5" s="23" t="s">
        <v>30</v>
      </c>
      <c r="C5" s="11" t="s">
        <v>72</v>
      </c>
      <c r="D5" s="11" t="s">
        <v>72</v>
      </c>
      <c r="E5" s="24" t="s">
        <v>73</v>
      </c>
      <c r="F5" s="25" t="n">
        <v>860987</v>
      </c>
      <c r="G5" s="25" t="n">
        <v>114900</v>
      </c>
      <c r="H5" s="25" t="n">
        <v>900848</v>
      </c>
      <c r="I5" s="25" t="n">
        <f aca="false">SUM(F5:H5)</f>
        <v>1876735</v>
      </c>
      <c r="J5" s="29" t="n">
        <f aca="false">SUM(F5:G5)</f>
        <v>975887</v>
      </c>
      <c r="K5" s="24" t="n">
        <v>12</v>
      </c>
      <c r="L5" s="29" t="n">
        <f aca="false">H5/SUM(K5/12)</f>
        <v>900848</v>
      </c>
      <c r="M5" s="30" t="n">
        <f aca="false">I5/SUM($I$5:$I$51)*Instrucciones!$B$84</f>
        <v>250121.216633973</v>
      </c>
      <c r="O5" s="31" t="b">
        <f aca="false">B5=Datos!B5</f>
        <v>0</v>
      </c>
      <c r="P5" s="31" t="b">
        <f aca="false">D5=TRIM(CLEAN(Datos!D5))</f>
        <v>0</v>
      </c>
      <c r="Q5" s="31" t="b">
        <f aca="false">J5=Datos!J5</f>
        <v>0</v>
      </c>
      <c r="R5" s="31" t="b">
        <f aca="false">L5=Datos!L5</f>
        <v>0</v>
      </c>
      <c r="S5" s="31" t="b">
        <f aca="false">M5=Datos!M5</f>
        <v>0</v>
      </c>
    </row>
    <row r="6" customFormat="false" ht="13.5" hidden="false" customHeight="false" outlineLevel="0" collapsed="false">
      <c r="A6" s="23" t="n">
        <v>3</v>
      </c>
      <c r="B6" s="23" t="s">
        <v>29</v>
      </c>
      <c r="C6" s="11" t="s">
        <v>74</v>
      </c>
      <c r="D6" s="11" t="s">
        <v>184</v>
      </c>
      <c r="E6" s="11" t="s">
        <v>75</v>
      </c>
      <c r="F6" s="25" t="n">
        <v>917141</v>
      </c>
      <c r="G6" s="25" t="n">
        <v>27120</v>
      </c>
      <c r="H6" s="25" t="n">
        <v>141633</v>
      </c>
      <c r="I6" s="25" t="n">
        <f aca="false">SUM(F6:H6)</f>
        <v>1085894</v>
      </c>
      <c r="J6" s="29" t="n">
        <f aca="false">SUM(F6:G6)</f>
        <v>944261</v>
      </c>
      <c r="K6" s="24" t="n">
        <v>24</v>
      </c>
      <c r="L6" s="29" t="n">
        <f aca="false">H6/SUM(K6/12)</f>
        <v>70816.5</v>
      </c>
      <c r="M6" s="30" t="n">
        <f aca="false">I6/SUM($I$5:$I$51)*Instrucciones!$B$84</f>
        <v>144722.152256728</v>
      </c>
      <c r="O6" s="31" t="b">
        <f aca="false">B6=Datos!B6</f>
        <v>0</v>
      </c>
      <c r="P6" s="31" t="b">
        <f aca="false">D6=TRIM(CLEAN(Datos!D6))</f>
        <v>0</v>
      </c>
      <c r="Q6" s="31" t="b">
        <f aca="false">J6=Datos!J6</f>
        <v>0</v>
      </c>
      <c r="R6" s="31" t="b">
        <f aca="false">L6=Datos!L6</f>
        <v>0</v>
      </c>
      <c r="S6" s="31" t="b">
        <f aca="false">M6=Datos!M6</f>
        <v>0</v>
      </c>
    </row>
    <row r="7" customFormat="false" ht="13.5" hidden="false" customHeight="false" outlineLevel="0" collapsed="false">
      <c r="A7" s="23" t="n">
        <v>6</v>
      </c>
      <c r="B7" s="23" t="s">
        <v>32</v>
      </c>
      <c r="C7" s="11" t="s">
        <v>76</v>
      </c>
      <c r="D7" s="11" t="s">
        <v>76</v>
      </c>
      <c r="E7" s="11" t="s">
        <v>77</v>
      </c>
      <c r="F7" s="25" t="n">
        <v>617787</v>
      </c>
      <c r="G7" s="25" t="n">
        <v>255726</v>
      </c>
      <c r="H7" s="25" t="n">
        <v>37927</v>
      </c>
      <c r="I7" s="25" t="n">
        <f aca="false">SUM(F7:H7)</f>
        <v>911440</v>
      </c>
      <c r="J7" s="29" t="n">
        <f aca="false">SUM(F7:G7)</f>
        <v>873513</v>
      </c>
      <c r="K7" s="24" t="n">
        <v>12</v>
      </c>
      <c r="L7" s="29" t="n">
        <f aca="false">H7/SUM(K7/12)</f>
        <v>37927</v>
      </c>
      <c r="M7" s="30" t="n">
        <f aca="false">I7/SUM($I$5:$I$51)*Instrucciones!$B$84</f>
        <v>121471.854944288</v>
      </c>
      <c r="O7" s="31" t="b">
        <f aca="false">B7=Datos!B7</f>
        <v>0</v>
      </c>
      <c r="P7" s="31" t="b">
        <f aca="false">D7=TRIM(CLEAN(Datos!D7))</f>
        <v>0</v>
      </c>
      <c r="Q7" s="31" t="b">
        <f aca="false">J7=Datos!J7</f>
        <v>0</v>
      </c>
      <c r="R7" s="31" t="b">
        <f aca="false">L7=Datos!L7</f>
        <v>0</v>
      </c>
      <c r="S7" s="31" t="b">
        <f aca="false">M7=Datos!M7</f>
        <v>0</v>
      </c>
    </row>
    <row r="8" customFormat="false" ht="13.5" hidden="false" customHeight="false" outlineLevel="0" collapsed="false">
      <c r="A8" s="23" t="n">
        <v>3</v>
      </c>
      <c r="B8" s="23" t="s">
        <v>29</v>
      </c>
      <c r="C8" s="11" t="s">
        <v>78</v>
      </c>
      <c r="D8" s="11" t="s">
        <v>78</v>
      </c>
      <c r="E8" s="11" t="s">
        <v>79</v>
      </c>
      <c r="F8" s="25" t="n">
        <v>776704</v>
      </c>
      <c r="G8" s="25" t="n">
        <v>900785</v>
      </c>
      <c r="H8" s="25" t="n">
        <v>947733</v>
      </c>
      <c r="I8" s="25" t="n">
        <f aca="false">SUM(F8:H8)</f>
        <v>2625222</v>
      </c>
      <c r="J8" s="29" t="n">
        <f aca="false">SUM(F8:G8)</f>
        <v>1677489</v>
      </c>
      <c r="K8" s="24" t="n">
        <v>12</v>
      </c>
      <c r="L8" s="29" t="n">
        <f aca="false">H8/SUM(K8/12)</f>
        <v>947733</v>
      </c>
      <c r="M8" s="30" t="n">
        <f aca="false">I8/SUM($I$5:$I$51)*Instrucciones!$B$84</f>
        <v>349875.566115766</v>
      </c>
      <c r="O8" s="31" t="b">
        <f aca="false">B8=Datos!B8</f>
        <v>0</v>
      </c>
      <c r="P8" s="31" t="b">
        <f aca="false">D8=TRIM(CLEAN(Datos!D8))</f>
        <v>0</v>
      </c>
      <c r="Q8" s="31" t="b">
        <f aca="false">J8=Datos!J8</f>
        <v>0</v>
      </c>
      <c r="R8" s="31" t="b">
        <f aca="false">L8=Datos!L8</f>
        <v>0</v>
      </c>
      <c r="S8" s="31" t="b">
        <f aca="false">M8=Datos!M8</f>
        <v>0</v>
      </c>
    </row>
    <row r="9" customFormat="false" ht="13.5" hidden="false" customHeight="false" outlineLevel="0" collapsed="false">
      <c r="A9" s="23" t="n">
        <v>3</v>
      </c>
      <c r="B9" s="23" t="s">
        <v>29</v>
      </c>
      <c r="C9" s="11" t="s">
        <v>80</v>
      </c>
      <c r="D9" s="11" t="s">
        <v>185</v>
      </c>
      <c r="E9" s="11" t="s">
        <v>81</v>
      </c>
      <c r="F9" s="25" t="n">
        <v>786044</v>
      </c>
      <c r="G9" s="25" t="n">
        <v>772642</v>
      </c>
      <c r="H9" s="25" t="n">
        <v>901396</v>
      </c>
      <c r="I9" s="25" t="n">
        <f aca="false">SUM(F9:H9)</f>
        <v>2460082</v>
      </c>
      <c r="J9" s="29" t="n">
        <f aca="false">SUM(F9:G9)</f>
        <v>1558686</v>
      </c>
      <c r="K9" s="24" t="n">
        <v>36</v>
      </c>
      <c r="L9" s="29" t="n">
        <f aca="false">H9/SUM(K9/12)</f>
        <v>300465.333333333</v>
      </c>
      <c r="M9" s="30" t="n">
        <f aca="false">I9/SUM($I$5:$I$51)*Instrucciones!$B$84</f>
        <v>327866.588974649</v>
      </c>
      <c r="O9" s="31" t="b">
        <f aca="false">B9=Datos!B9</f>
        <v>0</v>
      </c>
      <c r="P9" s="31" t="b">
        <f aca="false">D9=TRIM(CLEAN(Datos!D9))</f>
        <v>0</v>
      </c>
      <c r="Q9" s="31" t="b">
        <f aca="false">J9=Datos!J9</f>
        <v>0</v>
      </c>
      <c r="R9" s="31" t="b">
        <f aca="false">L9=Datos!L9</f>
        <v>0</v>
      </c>
      <c r="S9" s="31" t="b">
        <f aca="false">M9=Datos!M9</f>
        <v>0</v>
      </c>
    </row>
    <row r="10" customFormat="false" ht="13.5" hidden="false" customHeight="false" outlineLevel="0" collapsed="false">
      <c r="A10" s="23" t="n">
        <v>4</v>
      </c>
      <c r="B10" s="23" t="s">
        <v>30</v>
      </c>
      <c r="C10" s="11" t="s">
        <v>82</v>
      </c>
      <c r="D10" s="11" t="s">
        <v>186</v>
      </c>
      <c r="E10" s="11" t="s">
        <v>83</v>
      </c>
      <c r="F10" s="25" t="n">
        <v>685100</v>
      </c>
      <c r="G10" s="25" t="n">
        <v>416027</v>
      </c>
      <c r="H10" s="25" t="n">
        <v>409897</v>
      </c>
      <c r="I10" s="25" t="n">
        <f aca="false">SUM(F10:H10)</f>
        <v>1511024</v>
      </c>
      <c r="J10" s="29" t="n">
        <f aca="false">SUM(F10:G10)</f>
        <v>1101127</v>
      </c>
      <c r="K10" s="24" t="n">
        <v>36</v>
      </c>
      <c r="L10" s="29" t="n">
        <f aca="false">H10/SUM(K10/12)</f>
        <v>136632.333333333</v>
      </c>
      <c r="M10" s="30" t="n">
        <f aca="false">I10/SUM($I$5:$I$51)*Instrucciones!$B$84</f>
        <v>201381.20791861</v>
      </c>
      <c r="O10" s="31" t="b">
        <f aca="false">B10=Datos!B10</f>
        <v>0</v>
      </c>
      <c r="P10" s="31" t="b">
        <f aca="false">D10=TRIM(CLEAN(Datos!D10))</f>
        <v>0</v>
      </c>
      <c r="Q10" s="31" t="b">
        <f aca="false">J10=Datos!J10</f>
        <v>0</v>
      </c>
      <c r="R10" s="31" t="b">
        <f aca="false">L10=Datos!L10</f>
        <v>0</v>
      </c>
      <c r="S10" s="31" t="b">
        <f aca="false">M10=Datos!M10</f>
        <v>0</v>
      </c>
    </row>
    <row r="11" customFormat="false" ht="13.5" hidden="false" customHeight="false" outlineLevel="0" collapsed="false">
      <c r="A11" s="23" t="n">
        <v>4</v>
      </c>
      <c r="B11" s="23" t="s">
        <v>30</v>
      </c>
      <c r="C11" s="11" t="s">
        <v>84</v>
      </c>
      <c r="D11" s="11" t="s">
        <v>187</v>
      </c>
      <c r="E11" s="11" t="s">
        <v>85</v>
      </c>
      <c r="F11" s="25" t="n">
        <v>53956</v>
      </c>
      <c r="G11" s="25" t="n">
        <v>564252</v>
      </c>
      <c r="H11" s="25" t="n">
        <v>357928</v>
      </c>
      <c r="I11" s="25" t="n">
        <f aca="false">SUM(F11:H11)</f>
        <v>976136</v>
      </c>
      <c r="J11" s="29" t="n">
        <f aca="false">SUM(F11:G11)</f>
        <v>618208</v>
      </c>
      <c r="K11" s="24" t="n">
        <v>12</v>
      </c>
      <c r="L11" s="29" t="n">
        <f aca="false">H11/SUM(K11/12)</f>
        <v>357928</v>
      </c>
      <c r="M11" s="30" t="n">
        <f aca="false">I11/SUM($I$5:$I$51)*Instrucciones!$B$84</f>
        <v>130094.192264875</v>
      </c>
      <c r="O11" s="31" t="b">
        <f aca="false">B11=Datos!B11</f>
        <v>0</v>
      </c>
      <c r="P11" s="31" t="b">
        <f aca="false">D11=TRIM(CLEAN(Datos!D11))</f>
        <v>0</v>
      </c>
      <c r="Q11" s="31" t="b">
        <f aca="false">J11=Datos!J11</f>
        <v>0</v>
      </c>
      <c r="R11" s="31" t="b">
        <f aca="false">L11=Datos!L11</f>
        <v>0</v>
      </c>
      <c r="S11" s="31" t="b">
        <f aca="false">M11=Datos!M11</f>
        <v>0</v>
      </c>
    </row>
    <row r="12" customFormat="false" ht="13.5" hidden="false" customHeight="false" outlineLevel="0" collapsed="false">
      <c r="A12" s="23" t="n">
        <v>1</v>
      </c>
      <c r="B12" s="23" t="s">
        <v>27</v>
      </c>
      <c r="C12" s="11" t="s">
        <v>86</v>
      </c>
      <c r="D12" s="11" t="s">
        <v>86</v>
      </c>
      <c r="E12" s="11" t="s">
        <v>87</v>
      </c>
      <c r="F12" s="25" t="n">
        <v>819399</v>
      </c>
      <c r="G12" s="25" t="n">
        <v>693226</v>
      </c>
      <c r="H12" s="25" t="n">
        <v>598380</v>
      </c>
      <c r="I12" s="25" t="n">
        <f aca="false">SUM(F12:H12)</f>
        <v>2111005</v>
      </c>
      <c r="J12" s="29" t="n">
        <f aca="false">SUM(F12:G12)</f>
        <v>1512625</v>
      </c>
      <c r="K12" s="24" t="n">
        <v>12</v>
      </c>
      <c r="L12" s="29" t="n">
        <f aca="false">H12/SUM(K12/12)</f>
        <v>598380</v>
      </c>
      <c r="M12" s="30" t="n">
        <f aca="false">I12/SUM($I$5:$I$51)*Instrucciones!$B$84</f>
        <v>281343.470932444</v>
      </c>
      <c r="O12" s="31" t="b">
        <f aca="false">B12=Datos!B12</f>
        <v>0</v>
      </c>
      <c r="P12" s="31" t="b">
        <f aca="false">D12=TRIM(CLEAN(Datos!D12))</f>
        <v>0</v>
      </c>
      <c r="Q12" s="31" t="b">
        <f aca="false">J12=Datos!J12</f>
        <v>0</v>
      </c>
      <c r="R12" s="31" t="b">
        <f aca="false">L12=Datos!L12</f>
        <v>0</v>
      </c>
      <c r="S12" s="31" t="b">
        <f aca="false">M12=Datos!M12</f>
        <v>0</v>
      </c>
    </row>
    <row r="13" customFormat="false" ht="13.5" hidden="false" customHeight="false" outlineLevel="0" collapsed="false">
      <c r="A13" s="23" t="n">
        <v>4</v>
      </c>
      <c r="B13" s="23" t="s">
        <v>30</v>
      </c>
      <c r="C13" s="11" t="s">
        <v>88</v>
      </c>
      <c r="D13" s="11" t="s">
        <v>88</v>
      </c>
      <c r="E13" s="11" t="s">
        <v>89</v>
      </c>
      <c r="F13" s="25" t="n">
        <v>71963</v>
      </c>
      <c r="G13" s="25" t="n">
        <v>368847</v>
      </c>
      <c r="H13" s="25" t="n">
        <v>933532</v>
      </c>
      <c r="I13" s="25" t="n">
        <f aca="false">SUM(F13:H13)</f>
        <v>1374342</v>
      </c>
      <c r="J13" s="29" t="n">
        <f aca="false">SUM(F13:G13)</f>
        <v>440810</v>
      </c>
      <c r="K13" s="24" t="n">
        <v>12</v>
      </c>
      <c r="L13" s="29" t="n">
        <f aca="false">H13/SUM(K13/12)</f>
        <v>933532</v>
      </c>
      <c r="M13" s="30" t="n">
        <f aca="false">I13/SUM($I$5:$I$51)*Instrucciones!$B$84</f>
        <v>183164.961015363</v>
      </c>
      <c r="O13" s="31" t="b">
        <f aca="false">B13=Datos!B13</f>
        <v>0</v>
      </c>
      <c r="P13" s="31" t="b">
        <f aca="false">D13=TRIM(CLEAN(Datos!D13))</f>
        <v>0</v>
      </c>
      <c r="Q13" s="31" t="b">
        <f aca="false">J13=Datos!J13</f>
        <v>0</v>
      </c>
      <c r="R13" s="31" t="b">
        <f aca="false">L13=Datos!L13</f>
        <v>0</v>
      </c>
      <c r="S13" s="31" t="b">
        <f aca="false">M13=Datos!M13</f>
        <v>0</v>
      </c>
    </row>
    <row r="14" customFormat="false" ht="13.5" hidden="false" customHeight="false" outlineLevel="0" collapsed="false">
      <c r="A14" s="23" t="n">
        <v>5</v>
      </c>
      <c r="B14" s="23" t="s">
        <v>31</v>
      </c>
      <c r="C14" s="11" t="s">
        <v>90</v>
      </c>
      <c r="D14" s="11" t="s">
        <v>90</v>
      </c>
      <c r="E14" s="11" t="s">
        <v>91</v>
      </c>
      <c r="F14" s="25" t="n">
        <v>642162</v>
      </c>
      <c r="G14" s="25" t="n">
        <v>743470</v>
      </c>
      <c r="H14" s="25" t="n">
        <v>49574</v>
      </c>
      <c r="I14" s="25" t="n">
        <f aca="false">SUM(F14:H14)</f>
        <v>1435206</v>
      </c>
      <c r="J14" s="29" t="n">
        <f aca="false">SUM(F14:G14)</f>
        <v>1385632</v>
      </c>
      <c r="K14" s="24" t="n">
        <v>12</v>
      </c>
      <c r="L14" s="29" t="n">
        <f aca="false">H14/SUM(K14/12)</f>
        <v>49574</v>
      </c>
      <c r="M14" s="30" t="n">
        <f aca="false">I14/SUM($I$5:$I$51)*Instrucciones!$B$84</f>
        <v>191276.589843733</v>
      </c>
      <c r="O14" s="31" t="b">
        <f aca="false">B14=Datos!B14</f>
        <v>0</v>
      </c>
      <c r="P14" s="31" t="b">
        <f aca="false">D14=TRIM(CLEAN(Datos!D14))</f>
        <v>0</v>
      </c>
      <c r="Q14" s="31" t="b">
        <f aca="false">J14=Datos!J14</f>
        <v>0</v>
      </c>
      <c r="R14" s="31" t="b">
        <f aca="false">L14=Datos!L14</f>
        <v>0</v>
      </c>
      <c r="S14" s="31" t="b">
        <f aca="false">M14=Datos!M14</f>
        <v>0</v>
      </c>
    </row>
    <row r="15" customFormat="false" ht="13.5" hidden="false" customHeight="false" outlineLevel="0" collapsed="false">
      <c r="A15" s="23" t="n">
        <v>6</v>
      </c>
      <c r="B15" s="23" t="s">
        <v>32</v>
      </c>
      <c r="C15" s="11" t="s">
        <v>92</v>
      </c>
      <c r="D15" s="11" t="s">
        <v>188</v>
      </c>
      <c r="E15" s="11" t="s">
        <v>93</v>
      </c>
      <c r="F15" s="25" t="n">
        <v>381832</v>
      </c>
      <c r="G15" s="25" t="n">
        <v>412069</v>
      </c>
      <c r="H15" s="25" t="n">
        <v>738365</v>
      </c>
      <c r="I15" s="25" t="n">
        <f aca="false">SUM(F15:H15)</f>
        <v>1532266</v>
      </c>
      <c r="J15" s="29" t="n">
        <f aca="false">SUM(F15:G15)</f>
        <v>793901</v>
      </c>
      <c r="K15" s="24" t="n">
        <v>18</v>
      </c>
      <c r="L15" s="29" t="n">
        <f aca="false">H15/SUM(K15/12)</f>
        <v>492243.333333333</v>
      </c>
      <c r="M15" s="30" t="n">
        <f aca="false">I15/SUM($I$5:$I$51)*Instrucciones!$B$84</f>
        <v>204212.228219152</v>
      </c>
      <c r="O15" s="31" t="b">
        <f aca="false">B15=Datos!B15</f>
        <v>0</v>
      </c>
      <c r="P15" s="31" t="b">
        <f aca="false">D15=TRIM(CLEAN(Datos!D15))</f>
        <v>0</v>
      </c>
      <c r="Q15" s="31" t="b">
        <f aca="false">J15=Datos!J15</f>
        <v>0</v>
      </c>
      <c r="R15" s="31" t="b">
        <f aca="false">L15=Datos!L15</f>
        <v>0</v>
      </c>
      <c r="S15" s="31" t="b">
        <f aca="false">M15=Datos!M15</f>
        <v>0</v>
      </c>
    </row>
    <row r="16" customFormat="false" ht="13.5" hidden="false" customHeight="false" outlineLevel="0" collapsed="false">
      <c r="A16" s="23" t="n">
        <v>5</v>
      </c>
      <c r="B16" s="23" t="s">
        <v>31</v>
      </c>
      <c r="C16" s="11" t="s">
        <v>94</v>
      </c>
      <c r="D16" s="11" t="s">
        <v>94</v>
      </c>
      <c r="E16" s="11" t="s">
        <v>95</v>
      </c>
      <c r="F16" s="25" t="n">
        <v>988790</v>
      </c>
      <c r="G16" s="25" t="n">
        <v>573087</v>
      </c>
      <c r="H16" s="25" t="n">
        <v>932111</v>
      </c>
      <c r="I16" s="25" t="n">
        <f aca="false">SUM(F16:H16)</f>
        <v>2493988</v>
      </c>
      <c r="J16" s="29" t="n">
        <f aca="false">SUM(F16:G16)</f>
        <v>1561877</v>
      </c>
      <c r="K16" s="24" t="n">
        <v>12</v>
      </c>
      <c r="L16" s="29" t="n">
        <f aca="false">H16/SUM(K16/12)</f>
        <v>932111</v>
      </c>
      <c r="M16" s="30" t="n">
        <f aca="false">I16/SUM($I$5:$I$51)*Instrucciones!$B$84</f>
        <v>332385.399553229</v>
      </c>
      <c r="O16" s="31" t="b">
        <f aca="false">B16=Datos!B16</f>
        <v>0</v>
      </c>
      <c r="P16" s="31" t="b">
        <f aca="false">D16=TRIM(CLEAN(Datos!D16))</f>
        <v>0</v>
      </c>
      <c r="Q16" s="31" t="b">
        <f aca="false">J16=Datos!J16</f>
        <v>0</v>
      </c>
      <c r="R16" s="31" t="b">
        <f aca="false">L16=Datos!L16</f>
        <v>0</v>
      </c>
      <c r="S16" s="31" t="b">
        <f aca="false">M16=Datos!M16</f>
        <v>0</v>
      </c>
    </row>
    <row r="17" customFormat="false" ht="13.5" hidden="false" customHeight="false" outlineLevel="0" collapsed="false">
      <c r="A17" s="23" t="n">
        <v>3</v>
      </c>
      <c r="B17" s="23" t="s">
        <v>29</v>
      </c>
      <c r="C17" s="11" t="s">
        <v>96</v>
      </c>
      <c r="D17" s="11" t="s">
        <v>189</v>
      </c>
      <c r="E17" s="11" t="s">
        <v>97</v>
      </c>
      <c r="F17" s="25" t="n">
        <v>599171</v>
      </c>
      <c r="G17" s="25" t="n">
        <v>113365</v>
      </c>
      <c r="H17" s="25" t="n">
        <v>525330</v>
      </c>
      <c r="I17" s="25" t="n">
        <f aca="false">SUM(F17:H17)</f>
        <v>1237866</v>
      </c>
      <c r="J17" s="29" t="n">
        <f aca="false">SUM(F17:G17)</f>
        <v>712536</v>
      </c>
      <c r="K17" s="24" t="n">
        <v>12</v>
      </c>
      <c r="L17" s="29" t="n">
        <f aca="false">H17/SUM(K17/12)</f>
        <v>525330</v>
      </c>
      <c r="M17" s="30" t="n">
        <f aca="false">I17/SUM($I$5:$I$51)*Instrucciones!$B$84</f>
        <v>164976.168691813</v>
      </c>
      <c r="O17" s="31" t="b">
        <f aca="false">B17=Datos!B17</f>
        <v>0</v>
      </c>
      <c r="P17" s="31" t="b">
        <f aca="false">D17=TRIM(CLEAN(Datos!D17))</f>
        <v>0</v>
      </c>
      <c r="Q17" s="31" t="b">
        <f aca="false">J17=Datos!J17</f>
        <v>0</v>
      </c>
      <c r="R17" s="31" t="b">
        <f aca="false">L17=Datos!L17</f>
        <v>0</v>
      </c>
      <c r="S17" s="31" t="b">
        <f aca="false">M17=Datos!M17</f>
        <v>0</v>
      </c>
    </row>
    <row r="18" customFormat="false" ht="13.5" hidden="false" customHeight="false" outlineLevel="0" collapsed="false">
      <c r="A18" s="23" t="n">
        <v>2</v>
      </c>
      <c r="B18" s="23" t="s">
        <v>28</v>
      </c>
      <c r="C18" s="11" t="s">
        <v>98</v>
      </c>
      <c r="D18" s="11" t="s">
        <v>98</v>
      </c>
      <c r="E18" s="11" t="s">
        <v>99</v>
      </c>
      <c r="F18" s="25" t="n">
        <v>399740</v>
      </c>
      <c r="G18" s="25" t="n">
        <v>997766</v>
      </c>
      <c r="H18" s="25" t="n">
        <v>998673</v>
      </c>
      <c r="I18" s="25" t="n">
        <f aca="false">SUM(F18:H18)</f>
        <v>2396179</v>
      </c>
      <c r="J18" s="29" t="n">
        <f aca="false">SUM(F18:G18)</f>
        <v>1397506</v>
      </c>
      <c r="K18" s="24" t="n">
        <v>12</v>
      </c>
      <c r="L18" s="29" t="n">
        <f aca="false">H18/SUM(K18/12)</f>
        <v>998673</v>
      </c>
      <c r="M18" s="30" t="n">
        <f aca="false">I18/SUM($I$5:$I$51)*Instrucciones!$B$84</f>
        <v>319349.938458427</v>
      </c>
      <c r="O18" s="31" t="b">
        <f aca="false">B18=Datos!B18</f>
        <v>0</v>
      </c>
      <c r="P18" s="31" t="b">
        <f aca="false">D18=TRIM(CLEAN(Datos!D18))</f>
        <v>0</v>
      </c>
      <c r="Q18" s="31" t="b">
        <f aca="false">J18=Datos!J18</f>
        <v>0</v>
      </c>
      <c r="R18" s="31" t="b">
        <f aca="false">L18=Datos!L18</f>
        <v>0</v>
      </c>
      <c r="S18" s="31" t="b">
        <f aca="false">M18=Datos!M18</f>
        <v>0</v>
      </c>
    </row>
    <row r="19" customFormat="false" ht="13.5" hidden="false" customHeight="false" outlineLevel="0" collapsed="false">
      <c r="A19" s="23" t="n">
        <v>6</v>
      </c>
      <c r="B19" s="23" t="s">
        <v>32</v>
      </c>
      <c r="C19" s="11" t="s">
        <v>100</v>
      </c>
      <c r="D19" s="11" t="s">
        <v>190</v>
      </c>
      <c r="E19" s="11" t="s">
        <v>101</v>
      </c>
      <c r="F19" s="25" t="n">
        <v>73001</v>
      </c>
      <c r="G19" s="25" t="n">
        <v>918657</v>
      </c>
      <c r="H19" s="25" t="n">
        <v>787616</v>
      </c>
      <c r="I19" s="25" t="n">
        <f aca="false">SUM(F19:H19)</f>
        <v>1779274</v>
      </c>
      <c r="J19" s="29" t="n">
        <f aca="false">SUM(F19:G19)</f>
        <v>991658</v>
      </c>
      <c r="K19" s="24" t="n">
        <v>12</v>
      </c>
      <c r="L19" s="29" t="n">
        <f aca="false">H19/SUM(K19/12)</f>
        <v>787616</v>
      </c>
      <c r="M19" s="30" t="n">
        <f aca="false">I19/SUM($I$5:$I$51)*Instrucciones!$B$84</f>
        <v>237132.135120406</v>
      </c>
      <c r="O19" s="31" t="b">
        <f aca="false">B19=Datos!B19</f>
        <v>0</v>
      </c>
      <c r="P19" s="31" t="b">
        <f aca="false">D19=TRIM(CLEAN(Datos!D19))</f>
        <v>0</v>
      </c>
      <c r="Q19" s="31" t="b">
        <f aca="false">J19=Datos!J19</f>
        <v>0</v>
      </c>
      <c r="R19" s="31" t="b">
        <f aca="false">L19=Datos!L19</f>
        <v>0</v>
      </c>
      <c r="S19" s="31" t="b">
        <f aca="false">M19=Datos!M19</f>
        <v>0</v>
      </c>
    </row>
    <row r="20" customFormat="false" ht="13.5" hidden="false" customHeight="false" outlineLevel="0" collapsed="false">
      <c r="A20" s="23" t="n">
        <v>6</v>
      </c>
      <c r="B20" s="23" t="s">
        <v>32</v>
      </c>
      <c r="C20" s="11" t="s">
        <v>102</v>
      </c>
      <c r="D20" s="11" t="s">
        <v>102</v>
      </c>
      <c r="E20" s="11" t="s">
        <v>103</v>
      </c>
      <c r="F20" s="25" t="n">
        <v>110090</v>
      </c>
      <c r="G20" s="25" t="n">
        <v>818257</v>
      </c>
      <c r="H20" s="25" t="n">
        <v>991061</v>
      </c>
      <c r="I20" s="25" t="n">
        <f aca="false">SUM(F20:H20)</f>
        <v>1919408</v>
      </c>
      <c r="J20" s="29" t="n">
        <f aca="false">SUM(F20:G20)</f>
        <v>928347</v>
      </c>
      <c r="K20" s="24" t="n">
        <v>12</v>
      </c>
      <c r="L20" s="29" t="n">
        <f aca="false">H20/SUM(K20/12)</f>
        <v>991061</v>
      </c>
      <c r="M20" s="30" t="n">
        <f aca="false">I20/SUM($I$5:$I$51)*Instrucciones!$B$84</f>
        <v>255808.446145556</v>
      </c>
      <c r="O20" s="31" t="b">
        <f aca="false">B20=Datos!B20</f>
        <v>0</v>
      </c>
      <c r="P20" s="31" t="b">
        <f aca="false">D20=TRIM(CLEAN(Datos!D20))</f>
        <v>0</v>
      </c>
      <c r="Q20" s="31" t="b">
        <f aca="false">J20=Datos!J20</f>
        <v>0</v>
      </c>
      <c r="R20" s="31" t="b">
        <f aca="false">L20=Datos!L20</f>
        <v>0</v>
      </c>
      <c r="S20" s="31" t="b">
        <f aca="false">M20=Datos!M20</f>
        <v>0</v>
      </c>
    </row>
    <row r="21" customFormat="false" ht="13.5" hidden="false" customHeight="false" outlineLevel="0" collapsed="false">
      <c r="A21" s="23" t="n">
        <v>5</v>
      </c>
      <c r="B21" s="23" t="s">
        <v>31</v>
      </c>
      <c r="C21" s="11" t="s">
        <v>104</v>
      </c>
      <c r="D21" s="11" t="s">
        <v>104</v>
      </c>
      <c r="E21" s="11" t="s">
        <v>105</v>
      </c>
      <c r="F21" s="25" t="n">
        <v>649515</v>
      </c>
      <c r="G21" s="25" t="n">
        <v>595210</v>
      </c>
      <c r="H21" s="25" t="n">
        <v>903421</v>
      </c>
      <c r="I21" s="25" t="n">
        <f aca="false">SUM(F21:H21)</f>
        <v>2148146</v>
      </c>
      <c r="J21" s="29" t="n">
        <f aca="false">SUM(F21:G21)</f>
        <v>1244725</v>
      </c>
      <c r="K21" s="24" t="n">
        <v>12</v>
      </c>
      <c r="L21" s="29" t="n">
        <f aca="false">H21/SUM(K21/12)</f>
        <v>903421</v>
      </c>
      <c r="M21" s="30" t="n">
        <f aca="false">I21/SUM($I$5:$I$51)*Instrucciones!$B$84</f>
        <v>286293.425031985</v>
      </c>
      <c r="O21" s="31" t="b">
        <f aca="false">B21=Datos!B21</f>
        <v>0</v>
      </c>
      <c r="P21" s="31" t="b">
        <f aca="false">D21=TRIM(CLEAN(Datos!D21))</f>
        <v>0</v>
      </c>
      <c r="Q21" s="31" t="b">
        <f aca="false">J21=Datos!J21</f>
        <v>0</v>
      </c>
      <c r="R21" s="31" t="b">
        <f aca="false">L21=Datos!L21</f>
        <v>0</v>
      </c>
      <c r="S21" s="31" t="b">
        <f aca="false">M21=Datos!M21</f>
        <v>0</v>
      </c>
    </row>
    <row r="22" customFormat="false" ht="13.5" hidden="false" customHeight="false" outlineLevel="0" collapsed="false">
      <c r="A22" s="23" t="n">
        <v>6</v>
      </c>
      <c r="B22" s="23" t="s">
        <v>32</v>
      </c>
      <c r="C22" s="11" t="s">
        <v>106</v>
      </c>
      <c r="D22" s="11" t="s">
        <v>106</v>
      </c>
      <c r="E22" s="11" t="s">
        <v>107</v>
      </c>
      <c r="F22" s="25" t="n">
        <v>855188</v>
      </c>
      <c r="G22" s="25" t="n">
        <v>626326</v>
      </c>
      <c r="H22" s="25" t="n">
        <v>53986</v>
      </c>
      <c r="I22" s="25" t="n">
        <f aca="false">SUM(F22:H22)</f>
        <v>1535500</v>
      </c>
      <c r="J22" s="29" t="n">
        <f aca="false">SUM(F22:G22)</f>
        <v>1481514</v>
      </c>
      <c r="K22" s="24" t="n">
        <v>36</v>
      </c>
      <c r="L22" s="29" t="n">
        <f aca="false">H22/SUM(K22/12)</f>
        <v>17995.3333333333</v>
      </c>
      <c r="M22" s="30" t="n">
        <f aca="false">I22/SUM($I$5:$I$51)*Instrucciones!$B$84</f>
        <v>204643.238465455</v>
      </c>
      <c r="O22" s="31" t="b">
        <f aca="false">B22=Datos!B22</f>
        <v>0</v>
      </c>
      <c r="P22" s="31" t="b">
        <f aca="false">D22=TRIM(CLEAN(Datos!D22))</f>
        <v>0</v>
      </c>
      <c r="Q22" s="31" t="b">
        <f aca="false">J22=Datos!J22</f>
        <v>0</v>
      </c>
      <c r="R22" s="31" t="b">
        <f aca="false">L22=Datos!L22</f>
        <v>0</v>
      </c>
      <c r="S22" s="31" t="b">
        <f aca="false">M22=Datos!M22</f>
        <v>0</v>
      </c>
    </row>
    <row r="23" customFormat="false" ht="13.5" hidden="false" customHeight="false" outlineLevel="0" collapsed="false">
      <c r="A23" s="23" t="n">
        <v>5</v>
      </c>
      <c r="B23" s="23" t="s">
        <v>31</v>
      </c>
      <c r="C23" s="11" t="s">
        <v>108</v>
      </c>
      <c r="D23" s="11" t="s">
        <v>191</v>
      </c>
      <c r="E23" s="11" t="s">
        <v>109</v>
      </c>
      <c r="F23" s="25" t="n">
        <v>802364</v>
      </c>
      <c r="G23" s="25" t="n">
        <v>316112</v>
      </c>
      <c r="H23" s="25" t="n">
        <v>815866</v>
      </c>
      <c r="I23" s="25" t="n">
        <f aca="false">SUM(F23:H23)</f>
        <v>1934342</v>
      </c>
      <c r="J23" s="29" t="n">
        <f aca="false">SUM(F23:G23)</f>
        <v>1118476</v>
      </c>
      <c r="K23" s="24" t="n">
        <v>36</v>
      </c>
      <c r="L23" s="29" t="n">
        <f aca="false">H23/SUM(K23/12)</f>
        <v>271955.333333333</v>
      </c>
      <c r="M23" s="30" t="n">
        <f aca="false">I23/SUM($I$5:$I$51)*Instrucciones!$B$84</f>
        <v>257798.769898889</v>
      </c>
      <c r="O23" s="31" t="b">
        <f aca="false">B23=Datos!B23</f>
        <v>0</v>
      </c>
      <c r="P23" s="31" t="b">
        <f aca="false">D23=TRIM(CLEAN(Datos!D23))</f>
        <v>0</v>
      </c>
      <c r="Q23" s="31" t="b">
        <f aca="false">J23=Datos!J23</f>
        <v>0</v>
      </c>
      <c r="R23" s="31" t="b">
        <f aca="false">L23=Datos!L23</f>
        <v>0</v>
      </c>
      <c r="S23" s="31" t="b">
        <f aca="false">M23=Datos!M23</f>
        <v>0</v>
      </c>
    </row>
    <row r="24" customFormat="false" ht="13.5" hidden="false" customHeight="false" outlineLevel="0" collapsed="false">
      <c r="A24" s="23" t="n">
        <v>6</v>
      </c>
      <c r="B24" s="23" t="s">
        <v>32</v>
      </c>
      <c r="C24" s="11" t="s">
        <v>110</v>
      </c>
      <c r="D24" s="11" t="s">
        <v>192</v>
      </c>
      <c r="E24" s="11" t="s">
        <v>111</v>
      </c>
      <c r="F24" s="25" t="n">
        <v>801679</v>
      </c>
      <c r="G24" s="25" t="n">
        <v>350321</v>
      </c>
      <c r="H24" s="25" t="n">
        <v>557708</v>
      </c>
      <c r="I24" s="25" t="n">
        <f aca="false">SUM(F24:H24)</f>
        <v>1709708</v>
      </c>
      <c r="J24" s="29" t="n">
        <f aca="false">SUM(F24:G24)</f>
        <v>1152000</v>
      </c>
      <c r="K24" s="24" t="n">
        <v>36</v>
      </c>
      <c r="L24" s="29" t="n">
        <f aca="false">H24/SUM(K24/12)</f>
        <v>185902.666666667</v>
      </c>
      <c r="M24" s="30" t="n">
        <f aca="false">I24/SUM($I$5:$I$51)*Instrucciones!$B$84</f>
        <v>227860.75021185</v>
      </c>
      <c r="O24" s="31" t="b">
        <f aca="false">B24=Datos!B24</f>
        <v>0</v>
      </c>
      <c r="P24" s="31" t="b">
        <f aca="false">D24=TRIM(CLEAN(Datos!D24))</f>
        <v>0</v>
      </c>
      <c r="Q24" s="31" t="b">
        <f aca="false">J24=Datos!J24</f>
        <v>0</v>
      </c>
      <c r="R24" s="31" t="b">
        <f aca="false">L24=Datos!L24</f>
        <v>0</v>
      </c>
      <c r="S24" s="31" t="b">
        <f aca="false">M24=Datos!M24</f>
        <v>0</v>
      </c>
    </row>
    <row r="25" customFormat="false" ht="13.5" hidden="false" customHeight="false" outlineLevel="0" collapsed="false">
      <c r="A25" s="23" t="n">
        <v>5</v>
      </c>
      <c r="B25" s="23" t="s">
        <v>31</v>
      </c>
      <c r="C25" s="11" t="s">
        <v>112</v>
      </c>
      <c r="D25" s="11" t="s">
        <v>112</v>
      </c>
      <c r="E25" s="11" t="s">
        <v>113</v>
      </c>
      <c r="F25" s="25" t="n">
        <v>819779</v>
      </c>
      <c r="G25" s="25" t="n">
        <v>288197</v>
      </c>
      <c r="H25" s="25" t="n">
        <v>213817</v>
      </c>
      <c r="I25" s="25" t="n">
        <f aca="false">SUM(F25:H25)</f>
        <v>1321793</v>
      </c>
      <c r="J25" s="29" t="n">
        <f aca="false">SUM(F25:G25)</f>
        <v>1107976</v>
      </c>
      <c r="K25" s="24" t="n">
        <v>12</v>
      </c>
      <c r="L25" s="29" t="n">
        <f aca="false">H25/SUM(K25/12)</f>
        <v>213817</v>
      </c>
      <c r="M25" s="30" t="n">
        <f aca="false">I25/SUM($I$5:$I$51)*Instrucciones!$B$84</f>
        <v>176161.510974255</v>
      </c>
      <c r="O25" s="31" t="b">
        <f aca="false">B25=Datos!B25</f>
        <v>0</v>
      </c>
      <c r="P25" s="31" t="b">
        <f aca="false">D25=TRIM(CLEAN(Datos!D25))</f>
        <v>0</v>
      </c>
      <c r="Q25" s="31" t="b">
        <f aca="false">J25=Datos!J25</f>
        <v>0</v>
      </c>
      <c r="R25" s="31" t="b">
        <f aca="false">L25=Datos!L25</f>
        <v>0</v>
      </c>
      <c r="S25" s="31" t="b">
        <f aca="false">M25=Datos!M25</f>
        <v>0</v>
      </c>
    </row>
    <row r="26" customFormat="false" ht="13.5" hidden="false" customHeight="false" outlineLevel="0" collapsed="false">
      <c r="A26" s="23" t="n">
        <v>3</v>
      </c>
      <c r="B26" s="23" t="s">
        <v>29</v>
      </c>
      <c r="C26" s="11" t="s">
        <v>114</v>
      </c>
      <c r="D26" s="11" t="s">
        <v>193</v>
      </c>
      <c r="E26" s="11" t="s">
        <v>115</v>
      </c>
      <c r="F26" s="25" t="n">
        <v>416405</v>
      </c>
      <c r="G26" s="25" t="n">
        <v>673955</v>
      </c>
      <c r="H26" s="25" t="n">
        <v>15575</v>
      </c>
      <c r="I26" s="25" t="n">
        <f aca="false">SUM(F26:H26)</f>
        <v>1105935</v>
      </c>
      <c r="J26" s="29" t="n">
        <f aca="false">SUM(F26:G26)</f>
        <v>1090360</v>
      </c>
      <c r="K26" s="24" t="n">
        <v>12</v>
      </c>
      <c r="L26" s="29" t="n">
        <f aca="false">H26/SUM(K26/12)</f>
        <v>15575</v>
      </c>
      <c r="M26" s="30" t="n">
        <f aca="false">I26/SUM($I$5:$I$51)*Instrucciones!$B$84</f>
        <v>147393.109692148</v>
      </c>
      <c r="O26" s="31" t="b">
        <f aca="false">B26=Datos!B26</f>
        <v>0</v>
      </c>
      <c r="P26" s="31" t="b">
        <f aca="false">D26=TRIM(CLEAN(Datos!D26))</f>
        <v>0</v>
      </c>
      <c r="Q26" s="31" t="b">
        <f aca="false">J26=Datos!J26</f>
        <v>0</v>
      </c>
      <c r="R26" s="31" t="b">
        <f aca="false">L26=Datos!L26</f>
        <v>0</v>
      </c>
      <c r="S26" s="31" t="b">
        <f aca="false">M26=Datos!M26</f>
        <v>0</v>
      </c>
    </row>
    <row r="27" customFormat="false" ht="13.5" hidden="false" customHeight="false" outlineLevel="0" collapsed="false">
      <c r="A27" s="23" t="n">
        <v>2</v>
      </c>
      <c r="B27" s="23" t="s">
        <v>28</v>
      </c>
      <c r="C27" s="11" t="s">
        <v>116</v>
      </c>
      <c r="D27" s="11" t="s">
        <v>194</v>
      </c>
      <c r="E27" s="11" t="s">
        <v>117</v>
      </c>
      <c r="F27" s="25" t="n">
        <v>129325</v>
      </c>
      <c r="G27" s="25" t="n">
        <v>795377</v>
      </c>
      <c r="H27" s="25" t="n">
        <v>616367</v>
      </c>
      <c r="I27" s="25" t="n">
        <f aca="false">SUM(F27:H27)</f>
        <v>1541069</v>
      </c>
      <c r="J27" s="29" t="n">
        <f aca="false">SUM(F27:G27)</f>
        <v>924702</v>
      </c>
      <c r="K27" s="24" t="n">
        <v>12</v>
      </c>
      <c r="L27" s="29" t="n">
        <f aca="false">H27/SUM(K27/12)</f>
        <v>616367</v>
      </c>
      <c r="M27" s="30" t="n">
        <f aca="false">I27/SUM($I$5:$I$51)*Instrucciones!$B$84</f>
        <v>205385.44503987</v>
      </c>
      <c r="O27" s="31" t="b">
        <f aca="false">B27=Datos!B27</f>
        <v>0</v>
      </c>
      <c r="P27" s="31" t="b">
        <f aca="false">D27=TRIM(CLEAN(Datos!D27))</f>
        <v>0</v>
      </c>
      <c r="Q27" s="31" t="b">
        <f aca="false">J27=Datos!J27</f>
        <v>0</v>
      </c>
      <c r="R27" s="31" t="b">
        <f aca="false">L27=Datos!L27</f>
        <v>0</v>
      </c>
      <c r="S27" s="31" t="b">
        <f aca="false">M27=Datos!M27</f>
        <v>0</v>
      </c>
    </row>
    <row r="28" customFormat="false" ht="13.5" hidden="false" customHeight="false" outlineLevel="0" collapsed="false">
      <c r="A28" s="23" t="n">
        <v>3</v>
      </c>
      <c r="B28" s="23" t="s">
        <v>29</v>
      </c>
      <c r="C28" s="11" t="s">
        <v>118</v>
      </c>
      <c r="D28" s="11" t="s">
        <v>118</v>
      </c>
      <c r="E28" s="11" t="s">
        <v>119</v>
      </c>
      <c r="F28" s="25" t="n">
        <v>754511</v>
      </c>
      <c r="G28" s="25" t="n">
        <v>249744</v>
      </c>
      <c r="H28" s="25" t="n">
        <v>679050</v>
      </c>
      <c r="I28" s="25" t="n">
        <f aca="false">SUM(F28:H28)</f>
        <v>1683305</v>
      </c>
      <c r="J28" s="29" t="n">
        <f aca="false">SUM(F28:G28)</f>
        <v>1004255</v>
      </c>
      <c r="K28" s="24" t="n">
        <v>12</v>
      </c>
      <c r="L28" s="29" t="n">
        <f aca="false">H28/SUM(K28/12)</f>
        <v>679050</v>
      </c>
      <c r="M28" s="30" t="n">
        <f aca="false">I28/SUM($I$5:$I$51)*Instrucciones!$B$84</f>
        <v>224341.899397651</v>
      </c>
      <c r="O28" s="31" t="b">
        <f aca="false">B28=Datos!B28</f>
        <v>0</v>
      </c>
      <c r="P28" s="31" t="b">
        <f aca="false">D28=TRIM(CLEAN(Datos!D28))</f>
        <v>0</v>
      </c>
      <c r="Q28" s="31" t="b">
        <f aca="false">J28=Datos!J28</f>
        <v>0</v>
      </c>
      <c r="R28" s="31" t="b">
        <f aca="false">L28=Datos!L28</f>
        <v>0</v>
      </c>
      <c r="S28" s="31" t="b">
        <f aca="false">M28=Datos!M28</f>
        <v>0</v>
      </c>
    </row>
    <row r="29" customFormat="false" ht="13.5" hidden="false" customHeight="false" outlineLevel="0" collapsed="false">
      <c r="A29" s="23" t="n">
        <v>3</v>
      </c>
      <c r="B29" s="23" t="s">
        <v>29</v>
      </c>
      <c r="C29" s="11" t="s">
        <v>120</v>
      </c>
      <c r="D29" s="11" t="s">
        <v>195</v>
      </c>
      <c r="E29" s="11" t="s">
        <v>121</v>
      </c>
      <c r="F29" s="25" t="n">
        <v>250992</v>
      </c>
      <c r="G29" s="25" t="n">
        <v>744912</v>
      </c>
      <c r="H29" s="25" t="n">
        <v>85596</v>
      </c>
      <c r="I29" s="25" t="n">
        <f aca="false">SUM(F29:H29)</f>
        <v>1081500</v>
      </c>
      <c r="J29" s="29" t="n">
        <f aca="false">SUM(F29:G29)</f>
        <v>995904</v>
      </c>
      <c r="K29" s="24" t="n">
        <v>12</v>
      </c>
      <c r="L29" s="29" t="n">
        <f aca="false">H29/SUM(K29/12)</f>
        <v>85596</v>
      </c>
      <c r="M29" s="30" t="n">
        <f aca="false">I29/SUM($I$5:$I$51)*Instrucciones!$B$84</f>
        <v>144136.54340631</v>
      </c>
      <c r="O29" s="31" t="b">
        <f aca="false">B29=Datos!B29</f>
        <v>0</v>
      </c>
      <c r="P29" s="31" t="b">
        <f aca="false">D29=TRIM(CLEAN(Datos!D29))</f>
        <v>0</v>
      </c>
      <c r="Q29" s="31" t="b">
        <f aca="false">J29=Datos!J29</f>
        <v>0</v>
      </c>
      <c r="R29" s="31" t="b">
        <f aca="false">L29=Datos!L29</f>
        <v>0</v>
      </c>
      <c r="S29" s="31" t="b">
        <f aca="false">M29=Datos!M29</f>
        <v>0</v>
      </c>
    </row>
    <row r="30" customFormat="false" ht="13.5" hidden="false" customHeight="false" outlineLevel="0" collapsed="false">
      <c r="A30" s="23" t="n">
        <v>5</v>
      </c>
      <c r="B30" s="23" t="s">
        <v>31</v>
      </c>
      <c r="C30" s="11" t="s">
        <v>122</v>
      </c>
      <c r="D30" s="11" t="s">
        <v>122</v>
      </c>
      <c r="E30" s="11" t="s">
        <v>123</v>
      </c>
      <c r="F30" s="25" t="n">
        <v>605058</v>
      </c>
      <c r="G30" s="25" t="n">
        <v>178831</v>
      </c>
      <c r="H30" s="25" t="n">
        <v>845362</v>
      </c>
      <c r="I30" s="25" t="n">
        <f aca="false">SUM(F30:H30)</f>
        <v>1629251</v>
      </c>
      <c r="J30" s="29" t="n">
        <f aca="false">SUM(F30:G30)</f>
        <v>783889</v>
      </c>
      <c r="K30" s="24" t="n">
        <v>12</v>
      </c>
      <c r="L30" s="29" t="n">
        <f aca="false">H30/SUM(K30/12)</f>
        <v>845362</v>
      </c>
      <c r="M30" s="30" t="n">
        <f aca="false">I30/SUM($I$5:$I$51)*Instrucciones!$B$84</f>
        <v>217137.870995168</v>
      </c>
      <c r="O30" s="31" t="b">
        <f aca="false">B30=Datos!B30</f>
        <v>0</v>
      </c>
      <c r="P30" s="31" t="b">
        <f aca="false">D30=TRIM(CLEAN(Datos!D30))</f>
        <v>0</v>
      </c>
      <c r="Q30" s="31" t="b">
        <f aca="false">J30=Datos!J30</f>
        <v>0</v>
      </c>
      <c r="R30" s="31" t="b">
        <f aca="false">L30=Datos!L30</f>
        <v>0</v>
      </c>
      <c r="S30" s="31" t="b">
        <f aca="false">M30=Datos!M30</f>
        <v>0</v>
      </c>
    </row>
    <row r="31" customFormat="false" ht="13.5" hidden="false" customHeight="false" outlineLevel="0" collapsed="false">
      <c r="A31" s="23" t="n">
        <v>5</v>
      </c>
      <c r="B31" s="23" t="s">
        <v>31</v>
      </c>
      <c r="C31" s="11" t="s">
        <v>124</v>
      </c>
      <c r="D31" s="11" t="s">
        <v>124</v>
      </c>
      <c r="E31" s="11" t="s">
        <v>125</v>
      </c>
      <c r="F31" s="25" t="n">
        <v>305105</v>
      </c>
      <c r="G31" s="25" t="n">
        <v>642147</v>
      </c>
      <c r="H31" s="25" t="n">
        <v>712378</v>
      </c>
      <c r="I31" s="25" t="n">
        <f aca="false">SUM(F31:H31)</f>
        <v>1659630</v>
      </c>
      <c r="J31" s="29" t="n">
        <f aca="false">SUM(F31:G31)</f>
        <v>947252</v>
      </c>
      <c r="K31" s="24" t="n">
        <v>12</v>
      </c>
      <c r="L31" s="29" t="n">
        <f aca="false">H31/SUM(K31/12)</f>
        <v>712378</v>
      </c>
      <c r="M31" s="30" t="n">
        <f aca="false">I31/SUM($I$5:$I$51)*Instrucciones!$B$84</f>
        <v>221186.621852441</v>
      </c>
      <c r="O31" s="31" t="b">
        <f aca="false">B31=Datos!B31</f>
        <v>0</v>
      </c>
      <c r="P31" s="31" t="b">
        <f aca="false">D31=TRIM(CLEAN(Datos!D31))</f>
        <v>0</v>
      </c>
      <c r="Q31" s="31" t="b">
        <f aca="false">J31=Datos!J31</f>
        <v>0</v>
      </c>
      <c r="R31" s="31" t="b">
        <f aca="false">L31=Datos!L31</f>
        <v>0</v>
      </c>
      <c r="S31" s="31" t="b">
        <f aca="false">M31=Datos!M31</f>
        <v>0</v>
      </c>
    </row>
    <row r="32" customFormat="false" ht="13.5" hidden="false" customHeight="false" outlineLevel="0" collapsed="false">
      <c r="A32" s="23" t="n">
        <v>1</v>
      </c>
      <c r="B32" s="23" t="s">
        <v>27</v>
      </c>
      <c r="C32" s="11" t="s">
        <v>126</v>
      </c>
      <c r="D32" s="11" t="s">
        <v>196</v>
      </c>
      <c r="E32" s="11" t="s">
        <v>127</v>
      </c>
      <c r="F32" s="25" t="n">
        <v>503763</v>
      </c>
      <c r="G32" s="25" t="n">
        <v>95136</v>
      </c>
      <c r="H32" s="25" t="n">
        <v>621836</v>
      </c>
      <c r="I32" s="25" t="n">
        <f aca="false">SUM(F32:H32)</f>
        <v>1220735</v>
      </c>
      <c r="J32" s="29" t="n">
        <f aca="false">SUM(F32:G32)</f>
        <v>598899</v>
      </c>
      <c r="K32" s="24" t="n">
        <v>12</v>
      </c>
      <c r="L32" s="29" t="n">
        <f aca="false">H32/SUM(K32/12)</f>
        <v>621836</v>
      </c>
      <c r="M32" s="30" t="n">
        <f aca="false">I32/SUM($I$5:$I$51)*Instrucciones!$B$84</f>
        <v>162693.040513271</v>
      </c>
      <c r="O32" s="31" t="b">
        <f aca="false">B32=Datos!B32</f>
        <v>0</v>
      </c>
      <c r="P32" s="31" t="b">
        <f aca="false">D32=TRIM(CLEAN(Datos!D32))</f>
        <v>0</v>
      </c>
      <c r="Q32" s="31" t="b">
        <f aca="false">J32=Datos!J32</f>
        <v>0</v>
      </c>
      <c r="R32" s="31" t="b">
        <f aca="false">L32=Datos!L32</f>
        <v>0</v>
      </c>
      <c r="S32" s="31" t="b">
        <f aca="false">M32=Datos!M32</f>
        <v>0</v>
      </c>
    </row>
    <row r="33" customFormat="false" ht="13.5" hidden="false" customHeight="false" outlineLevel="0" collapsed="false">
      <c r="A33" s="23" t="n">
        <v>6</v>
      </c>
      <c r="B33" s="23" t="s">
        <v>32</v>
      </c>
      <c r="C33" s="11" t="s">
        <v>128</v>
      </c>
      <c r="D33" s="11" t="s">
        <v>128</v>
      </c>
      <c r="E33" s="11" t="s">
        <v>129</v>
      </c>
      <c r="F33" s="25" t="n">
        <v>940037</v>
      </c>
      <c r="G33" s="25" t="n">
        <v>652789</v>
      </c>
      <c r="H33" s="25" t="n">
        <v>128281</v>
      </c>
      <c r="I33" s="25" t="n">
        <f aca="false">SUM(F33:H33)</f>
        <v>1721107</v>
      </c>
      <c r="J33" s="29" t="n">
        <f aca="false">SUM(F33:G33)</f>
        <v>1592826</v>
      </c>
      <c r="K33" s="24" t="n">
        <v>12</v>
      </c>
      <c r="L33" s="29" t="n">
        <f aca="false">H33/SUM(K33/12)</f>
        <v>128281</v>
      </c>
      <c r="M33" s="30" t="n">
        <f aca="false">I33/SUM($I$5:$I$51)*Instrucciones!$B$84</f>
        <v>229379.948046606</v>
      </c>
      <c r="O33" s="31" t="b">
        <f aca="false">B33=Datos!B33</f>
        <v>0</v>
      </c>
      <c r="P33" s="31" t="b">
        <f aca="false">D33=TRIM(CLEAN(Datos!D33))</f>
        <v>0</v>
      </c>
      <c r="Q33" s="31" t="b">
        <f aca="false">J33=Datos!J33</f>
        <v>0</v>
      </c>
      <c r="R33" s="31" t="b">
        <f aca="false">L33=Datos!L33</f>
        <v>0</v>
      </c>
      <c r="S33" s="31" t="b">
        <f aca="false">M33=Datos!M33</f>
        <v>0</v>
      </c>
    </row>
    <row r="34" customFormat="false" ht="13.5" hidden="false" customHeight="false" outlineLevel="0" collapsed="false">
      <c r="A34" s="23" t="n">
        <v>5</v>
      </c>
      <c r="B34" s="23" t="s">
        <v>31</v>
      </c>
      <c r="C34" s="11" t="s">
        <v>130</v>
      </c>
      <c r="D34" s="11" t="s">
        <v>197</v>
      </c>
      <c r="E34" s="11" t="s">
        <v>131</v>
      </c>
      <c r="F34" s="25" t="n">
        <v>631182</v>
      </c>
      <c r="G34" s="25" t="n">
        <v>97640</v>
      </c>
      <c r="H34" s="25" t="n">
        <v>570699</v>
      </c>
      <c r="I34" s="25" t="n">
        <f aca="false">SUM(F34:H34)</f>
        <v>1299521</v>
      </c>
      <c r="J34" s="29" t="n">
        <f aca="false">SUM(F34:G34)</f>
        <v>728822</v>
      </c>
      <c r="K34" s="24" t="n">
        <v>18</v>
      </c>
      <c r="L34" s="29" t="n">
        <f aca="false">H34/SUM(K34/12)</f>
        <v>380466</v>
      </c>
      <c r="M34" s="30" t="n">
        <f aca="false">I34/SUM($I$5:$I$51)*Instrucciones!$B$84</f>
        <v>173193.21777523</v>
      </c>
      <c r="O34" s="31" t="b">
        <f aca="false">B34=Datos!B34</f>
        <v>0</v>
      </c>
      <c r="P34" s="31" t="b">
        <f aca="false">D34=TRIM(CLEAN(Datos!D34))</f>
        <v>0</v>
      </c>
      <c r="Q34" s="31" t="b">
        <f aca="false">J34=Datos!J34</f>
        <v>0</v>
      </c>
      <c r="R34" s="31" t="b">
        <f aca="false">L34=Datos!L34</f>
        <v>0</v>
      </c>
      <c r="S34" s="31" t="b">
        <f aca="false">M34=Datos!M34</f>
        <v>0</v>
      </c>
    </row>
    <row r="35" customFormat="false" ht="13.5" hidden="false" customHeight="false" outlineLevel="0" collapsed="false">
      <c r="A35" s="23" t="n">
        <v>5</v>
      </c>
      <c r="B35" s="23" t="s">
        <v>31</v>
      </c>
      <c r="C35" s="11" t="s">
        <v>132</v>
      </c>
      <c r="D35" s="11" t="s">
        <v>132</v>
      </c>
      <c r="E35" s="11" t="s">
        <v>133</v>
      </c>
      <c r="F35" s="25" t="n">
        <v>273099</v>
      </c>
      <c r="G35" s="25" t="n">
        <v>162850</v>
      </c>
      <c r="H35" s="25" t="n">
        <v>300656</v>
      </c>
      <c r="I35" s="25" t="n">
        <f aca="false">SUM(F35:H35)</f>
        <v>736605</v>
      </c>
      <c r="J35" s="29" t="n">
        <f aca="false">SUM(F35:G35)</f>
        <v>435949</v>
      </c>
      <c r="K35" s="24" t="n">
        <v>18</v>
      </c>
      <c r="L35" s="29" t="n">
        <f aca="false">H35/SUM(K35/12)</f>
        <v>200437.333333333</v>
      </c>
      <c r="M35" s="30" t="n">
        <f aca="false">I35/SUM($I$5:$I$51)*Instrucciones!$B$84</f>
        <v>98170.7799868748</v>
      </c>
      <c r="O35" s="31" t="b">
        <f aca="false">B35=Datos!B35</f>
        <v>0</v>
      </c>
      <c r="P35" s="31" t="b">
        <f aca="false">D35=TRIM(CLEAN(Datos!D35))</f>
        <v>0</v>
      </c>
      <c r="Q35" s="31" t="b">
        <f aca="false">J35=Datos!J35</f>
        <v>0</v>
      </c>
      <c r="R35" s="31" t="b">
        <f aca="false">L35=Datos!L35</f>
        <v>0</v>
      </c>
      <c r="S35" s="31" t="b">
        <f aca="false">M35=Datos!M35</f>
        <v>0</v>
      </c>
    </row>
    <row r="36" customFormat="false" ht="13.5" hidden="false" customHeight="false" outlineLevel="0" collapsed="false">
      <c r="A36" s="23" t="n">
        <v>2</v>
      </c>
      <c r="B36" s="23" t="s">
        <v>28</v>
      </c>
      <c r="C36" s="11" t="s">
        <v>134</v>
      </c>
      <c r="D36" s="11" t="s">
        <v>134</v>
      </c>
      <c r="E36" s="11" t="s">
        <v>135</v>
      </c>
      <c r="F36" s="25" t="n">
        <v>914535</v>
      </c>
      <c r="G36" s="25" t="n">
        <v>216333</v>
      </c>
      <c r="H36" s="25" t="n">
        <v>759668</v>
      </c>
      <c r="I36" s="25" t="n">
        <f aca="false">SUM(F36:H36)</f>
        <v>1890536</v>
      </c>
      <c r="J36" s="29" t="n">
        <f aca="false">SUM(F36:G36)</f>
        <v>1130868</v>
      </c>
      <c r="K36" s="24" t="n">
        <v>18</v>
      </c>
      <c r="L36" s="29" t="n">
        <f aca="false">H36/SUM(K36/12)</f>
        <v>506445.333333333</v>
      </c>
      <c r="M36" s="30" t="n">
        <f aca="false">I36/SUM($I$5:$I$51)*Instrucciones!$B$84</f>
        <v>251960.540198976</v>
      </c>
      <c r="O36" s="31" t="b">
        <f aca="false">B36=Datos!B36</f>
        <v>0</v>
      </c>
      <c r="P36" s="31" t="b">
        <f aca="false">D36=TRIM(CLEAN(Datos!D36))</f>
        <v>0</v>
      </c>
      <c r="Q36" s="31" t="b">
        <f aca="false">J36=Datos!J36</f>
        <v>0</v>
      </c>
      <c r="R36" s="31" t="b">
        <f aca="false">L36=Datos!L36</f>
        <v>0</v>
      </c>
      <c r="S36" s="31" t="b">
        <f aca="false">M36=Datos!M36</f>
        <v>0</v>
      </c>
    </row>
    <row r="37" customFormat="false" ht="13.5" hidden="false" customHeight="false" outlineLevel="0" collapsed="false">
      <c r="A37" s="23" t="n">
        <v>2</v>
      </c>
      <c r="B37" s="23" t="s">
        <v>28</v>
      </c>
      <c r="C37" s="11" t="s">
        <v>136</v>
      </c>
      <c r="D37" s="11" t="s">
        <v>136</v>
      </c>
      <c r="E37" s="11" t="s">
        <v>137</v>
      </c>
      <c r="F37" s="25" t="n">
        <v>934287</v>
      </c>
      <c r="G37" s="25" t="n">
        <v>810034</v>
      </c>
      <c r="H37" s="25" t="n">
        <v>343346</v>
      </c>
      <c r="I37" s="25" t="n">
        <f aca="false">SUM(F37:H37)</f>
        <v>2087667</v>
      </c>
      <c r="J37" s="29" t="n">
        <f aca="false">SUM(F37:G37)</f>
        <v>1744321</v>
      </c>
      <c r="K37" s="24" t="n">
        <v>18</v>
      </c>
      <c r="L37" s="29" t="n">
        <f aca="false">H37/SUM(K37/12)</f>
        <v>228897.333333333</v>
      </c>
      <c r="M37" s="30" t="n">
        <f aca="false">I37/SUM($I$5:$I$51)*Instrucciones!$B$84</f>
        <v>278233.106947223</v>
      </c>
      <c r="O37" s="31" t="b">
        <f aca="false">B37=Datos!B37</f>
        <v>0</v>
      </c>
      <c r="P37" s="31" t="b">
        <f aca="false">D37=TRIM(CLEAN(Datos!D37))</f>
        <v>0</v>
      </c>
      <c r="Q37" s="31" t="b">
        <f aca="false">J37=Datos!J37</f>
        <v>0</v>
      </c>
      <c r="R37" s="31" t="b">
        <f aca="false">L37=Datos!L37</f>
        <v>0</v>
      </c>
      <c r="S37" s="31" t="b">
        <f aca="false">M37=Datos!M37</f>
        <v>0</v>
      </c>
    </row>
    <row r="38" customFormat="false" ht="13.5" hidden="false" customHeight="false" outlineLevel="0" collapsed="false">
      <c r="A38" s="23" t="n">
        <v>5</v>
      </c>
      <c r="B38" s="23" t="s">
        <v>31</v>
      </c>
      <c r="C38" s="11" t="s">
        <v>138</v>
      </c>
      <c r="D38" s="11" t="s">
        <v>138</v>
      </c>
      <c r="E38" s="11" t="s">
        <v>139</v>
      </c>
      <c r="F38" s="25" t="n">
        <v>553800</v>
      </c>
      <c r="G38" s="25" t="n">
        <v>945309</v>
      </c>
      <c r="H38" s="25" t="n">
        <v>141913</v>
      </c>
      <c r="I38" s="25" t="n">
        <f aca="false">SUM(F38:H38)</f>
        <v>1641022</v>
      </c>
      <c r="J38" s="29" t="n">
        <f aca="false">SUM(F38:G38)</f>
        <v>1499109</v>
      </c>
      <c r="K38" s="24" t="n">
        <v>18</v>
      </c>
      <c r="L38" s="29" t="n">
        <f aca="false">H38/SUM(K38/12)</f>
        <v>94608.6666666667</v>
      </c>
      <c r="M38" s="30" t="n">
        <f aca="false">I38/SUM($I$5:$I$51)*Instrucciones!$B$84</f>
        <v>218706.647002968</v>
      </c>
      <c r="O38" s="31" t="b">
        <f aca="false">B38=Datos!B38</f>
        <v>0</v>
      </c>
      <c r="P38" s="31" t="b">
        <f aca="false">D38=TRIM(CLEAN(Datos!D38))</f>
        <v>0</v>
      </c>
      <c r="Q38" s="31" t="b">
        <f aca="false">J38=Datos!J38</f>
        <v>0</v>
      </c>
      <c r="R38" s="31" t="b">
        <f aca="false">L38=Datos!L38</f>
        <v>0</v>
      </c>
      <c r="S38" s="31" t="b">
        <f aca="false">M38=Datos!M38</f>
        <v>0</v>
      </c>
    </row>
    <row r="39" customFormat="false" ht="13.5" hidden="false" customHeight="false" outlineLevel="0" collapsed="false">
      <c r="A39" s="23" t="n">
        <v>4</v>
      </c>
      <c r="B39" s="23" t="s">
        <v>30</v>
      </c>
      <c r="C39" s="11" t="s">
        <v>140</v>
      </c>
      <c r="D39" s="11" t="s">
        <v>140</v>
      </c>
      <c r="E39" s="11" t="s">
        <v>141</v>
      </c>
      <c r="F39" s="25" t="n">
        <v>743857</v>
      </c>
      <c r="G39" s="25" t="n">
        <v>824219</v>
      </c>
      <c r="H39" s="25" t="n">
        <v>617862</v>
      </c>
      <c r="I39" s="25" t="n">
        <f aca="false">SUM(F39:H39)</f>
        <v>2185938</v>
      </c>
      <c r="J39" s="29" t="n">
        <f aca="false">SUM(F39:G39)</f>
        <v>1568076</v>
      </c>
      <c r="K39" s="24" t="n">
        <v>18</v>
      </c>
      <c r="L39" s="29" t="n">
        <f aca="false">H39/SUM(K39/12)</f>
        <v>411908</v>
      </c>
      <c r="M39" s="30" t="n">
        <f aca="false">I39/SUM($I$5:$I$51)*Instrucciones!$B$84</f>
        <v>291330.140934353</v>
      </c>
      <c r="O39" s="31" t="b">
        <f aca="false">B39=Datos!B39</f>
        <v>0</v>
      </c>
      <c r="P39" s="31" t="b">
        <f aca="false">D39=TRIM(CLEAN(Datos!D39))</f>
        <v>0</v>
      </c>
      <c r="Q39" s="31" t="b">
        <f aca="false">J39=Datos!J39</f>
        <v>0</v>
      </c>
      <c r="R39" s="31" t="b">
        <f aca="false">L39=Datos!L39</f>
        <v>0</v>
      </c>
      <c r="S39" s="31" t="b">
        <f aca="false">M39=Datos!M39</f>
        <v>0</v>
      </c>
    </row>
    <row r="40" customFormat="false" ht="13.5" hidden="false" customHeight="false" outlineLevel="0" collapsed="false">
      <c r="A40" s="23" t="n">
        <v>5</v>
      </c>
      <c r="B40" s="23" t="s">
        <v>31</v>
      </c>
      <c r="C40" s="11" t="s">
        <v>142</v>
      </c>
      <c r="D40" s="11" t="s">
        <v>198</v>
      </c>
      <c r="E40" s="11" t="s">
        <v>143</v>
      </c>
      <c r="F40" s="25" t="n">
        <v>24419</v>
      </c>
      <c r="G40" s="25" t="n">
        <v>888729</v>
      </c>
      <c r="H40" s="25" t="n">
        <v>875923</v>
      </c>
      <c r="I40" s="25" t="n">
        <f aca="false">SUM(F40:H40)</f>
        <v>1789071</v>
      </c>
      <c r="J40" s="29" t="n">
        <f aca="false">SUM(F40:G40)</f>
        <v>913148</v>
      </c>
      <c r="K40" s="24" t="n">
        <v>12</v>
      </c>
      <c r="L40" s="29" t="n">
        <f aca="false">H40/SUM(K40/12)</f>
        <v>875923</v>
      </c>
      <c r="M40" s="30" t="n">
        <f aca="false">I40/SUM($I$5:$I$51)*Instrucciones!$B$84</f>
        <v>238437.826951892</v>
      </c>
      <c r="O40" s="31" t="b">
        <f aca="false">B40=Datos!B40</f>
        <v>0</v>
      </c>
      <c r="P40" s="31" t="b">
        <f aca="false">D40=TRIM(CLEAN(Datos!D40))</f>
        <v>0</v>
      </c>
      <c r="Q40" s="31" t="b">
        <f aca="false">J40=Datos!J40</f>
        <v>0</v>
      </c>
      <c r="R40" s="31" t="b">
        <f aca="false">L40=Datos!L40</f>
        <v>0</v>
      </c>
      <c r="S40" s="31" t="b">
        <f aca="false">M40=Datos!M40</f>
        <v>0</v>
      </c>
    </row>
    <row r="41" customFormat="false" ht="13.5" hidden="false" customHeight="false" outlineLevel="0" collapsed="false">
      <c r="A41" s="23" t="n">
        <v>2</v>
      </c>
      <c r="B41" s="23" t="s">
        <v>28</v>
      </c>
      <c r="C41" s="11" t="s">
        <v>48</v>
      </c>
      <c r="D41" s="11" t="s">
        <v>49</v>
      </c>
      <c r="E41" s="11" t="s">
        <v>144</v>
      </c>
      <c r="F41" s="25" t="n">
        <v>278687</v>
      </c>
      <c r="G41" s="25" t="n">
        <v>334073</v>
      </c>
      <c r="H41" s="25" t="n">
        <v>933846</v>
      </c>
      <c r="I41" s="25" t="n">
        <f aca="false">SUM(F41:H41)</f>
        <v>1546606</v>
      </c>
      <c r="J41" s="29" t="n">
        <f aca="false">SUM(F41:G41)</f>
        <v>612760</v>
      </c>
      <c r="K41" s="24" t="n">
        <v>12</v>
      </c>
      <c r="L41" s="29" t="n">
        <f aca="false">H41/SUM(K41/12)</f>
        <v>933846</v>
      </c>
      <c r="M41" s="30" t="n">
        <f aca="false">I41/SUM($I$5:$I$51)*Instrucciones!$B$84</f>
        <v>206123.386825206</v>
      </c>
      <c r="O41" s="31" t="b">
        <f aca="false">B41=Datos!B41</f>
        <v>0</v>
      </c>
      <c r="P41" s="31" t="b">
        <f aca="false">D41=TRIM(CLEAN(Datos!D41))</f>
        <v>0</v>
      </c>
      <c r="Q41" s="31" t="b">
        <f aca="false">J41=Datos!J41</f>
        <v>0</v>
      </c>
      <c r="R41" s="31" t="b">
        <f aca="false">L41=Datos!L41</f>
        <v>0</v>
      </c>
      <c r="S41" s="31" t="b">
        <f aca="false">M41=Datos!M41</f>
        <v>0</v>
      </c>
    </row>
    <row r="42" customFormat="false" ht="13.5" hidden="false" customHeight="false" outlineLevel="0" collapsed="false">
      <c r="A42" s="23" t="n">
        <v>1</v>
      </c>
      <c r="B42" s="23" t="s">
        <v>27</v>
      </c>
      <c r="C42" s="11" t="s">
        <v>145</v>
      </c>
      <c r="D42" s="11" t="s">
        <v>145</v>
      </c>
      <c r="E42" s="11" t="s">
        <v>146</v>
      </c>
      <c r="F42" s="25" t="n">
        <v>465041</v>
      </c>
      <c r="G42" s="25" t="n">
        <v>89894</v>
      </c>
      <c r="H42" s="25" t="n">
        <v>587390</v>
      </c>
      <c r="I42" s="25" t="n">
        <f aca="false">SUM(F42:H42)</f>
        <v>1142325</v>
      </c>
      <c r="J42" s="29" t="n">
        <f aca="false">SUM(F42:G42)</f>
        <v>554935</v>
      </c>
      <c r="K42" s="24" t="n">
        <v>12</v>
      </c>
      <c r="L42" s="29" t="n">
        <f aca="false">H42/SUM(K42/12)</f>
        <v>587390</v>
      </c>
      <c r="M42" s="30" t="n">
        <f aca="false">I42/SUM($I$5:$I$51)*Instrucciones!$B$84</f>
        <v>152242.97452299</v>
      </c>
      <c r="O42" s="31" t="b">
        <f aca="false">B42=Datos!B42</f>
        <v>0</v>
      </c>
      <c r="P42" s="31" t="b">
        <f aca="false">D42=TRIM(CLEAN(Datos!D42))</f>
        <v>0</v>
      </c>
      <c r="Q42" s="31" t="b">
        <f aca="false">J42=Datos!J42</f>
        <v>0</v>
      </c>
      <c r="R42" s="31" t="b">
        <f aca="false">L42=Datos!L42</f>
        <v>0</v>
      </c>
      <c r="S42" s="31" t="b">
        <f aca="false">M42=Datos!M42</f>
        <v>0</v>
      </c>
    </row>
    <row r="43" customFormat="false" ht="13.5" hidden="false" customHeight="false" outlineLevel="0" collapsed="false">
      <c r="A43" s="23" t="n">
        <v>3</v>
      </c>
      <c r="B43" s="23" t="s">
        <v>29</v>
      </c>
      <c r="C43" s="11" t="s">
        <v>147</v>
      </c>
      <c r="D43" s="11" t="s">
        <v>147</v>
      </c>
      <c r="E43" s="11" t="s">
        <v>148</v>
      </c>
      <c r="F43" s="25" t="n">
        <v>210926</v>
      </c>
      <c r="G43" s="25" t="n">
        <v>876352</v>
      </c>
      <c r="H43" s="25" t="n">
        <v>124064</v>
      </c>
      <c r="I43" s="25" t="n">
        <f aca="false">SUM(F43:H43)</f>
        <v>1211342</v>
      </c>
      <c r="J43" s="29" t="n">
        <f aca="false">SUM(F43:G43)</f>
        <v>1087278</v>
      </c>
      <c r="K43" s="24" t="n">
        <v>12</v>
      </c>
      <c r="L43" s="29" t="n">
        <f aca="false">H43/SUM(K43/12)</f>
        <v>124064</v>
      </c>
      <c r="M43" s="30" t="n">
        <f aca="false">I43/SUM($I$5:$I$51)*Instrucciones!$B$84</f>
        <v>161441.191643908</v>
      </c>
      <c r="O43" s="31" t="b">
        <f aca="false">B43=Datos!B43</f>
        <v>0</v>
      </c>
      <c r="P43" s="31" t="b">
        <f aca="false">D43=TRIM(CLEAN(Datos!D43))</f>
        <v>0</v>
      </c>
      <c r="Q43" s="31" t="b">
        <f aca="false">J43=Datos!J43</f>
        <v>0</v>
      </c>
      <c r="R43" s="31" t="b">
        <f aca="false">L43=Datos!L43</f>
        <v>0</v>
      </c>
      <c r="S43" s="31" t="b">
        <f aca="false">M43=Datos!M43</f>
        <v>0</v>
      </c>
    </row>
    <row r="44" customFormat="false" ht="13.5" hidden="false" customHeight="false" outlineLevel="0" collapsed="false">
      <c r="A44" s="23" t="n">
        <v>3</v>
      </c>
      <c r="B44" s="23" t="s">
        <v>29</v>
      </c>
      <c r="C44" s="11" t="s">
        <v>45</v>
      </c>
      <c r="D44" s="11" t="s">
        <v>46</v>
      </c>
      <c r="E44" s="11" t="s">
        <v>149</v>
      </c>
      <c r="F44" s="25" t="n">
        <v>604729</v>
      </c>
      <c r="G44" s="25" t="n">
        <v>84466</v>
      </c>
      <c r="H44" s="25" t="n">
        <v>616433</v>
      </c>
      <c r="I44" s="25" t="n">
        <f aca="false">SUM(F44:H44)</f>
        <v>1305628</v>
      </c>
      <c r="J44" s="29" t="n">
        <f aca="false">SUM(F44:G44)</f>
        <v>689195</v>
      </c>
      <c r="K44" s="24" t="n">
        <v>12</v>
      </c>
      <c r="L44" s="29" t="n">
        <f aca="false">H44/SUM(K44/12)</f>
        <v>616433</v>
      </c>
      <c r="M44" s="30" t="n">
        <f aca="false">I44/SUM($I$5:$I$51)*Instrucciones!$B$84</f>
        <v>174007.126116037</v>
      </c>
      <c r="O44" s="31" t="b">
        <f aca="false">B44=Datos!B44</f>
        <v>0</v>
      </c>
      <c r="P44" s="31" t="b">
        <f aca="false">D44=TRIM(CLEAN(Datos!D44))</f>
        <v>0</v>
      </c>
      <c r="Q44" s="31" t="b">
        <f aca="false">J44=Datos!J44</f>
        <v>0</v>
      </c>
      <c r="R44" s="31" t="b">
        <f aca="false">L44=Datos!L44</f>
        <v>0</v>
      </c>
      <c r="S44" s="31" t="b">
        <f aca="false">M44=Datos!M44</f>
        <v>0</v>
      </c>
    </row>
    <row r="45" customFormat="false" ht="13.5" hidden="false" customHeight="false" outlineLevel="0" collapsed="false">
      <c r="A45" s="23" t="n">
        <v>2</v>
      </c>
      <c r="B45" s="23" t="s">
        <v>28</v>
      </c>
      <c r="C45" s="11" t="s">
        <v>150</v>
      </c>
      <c r="D45" s="11" t="s">
        <v>150</v>
      </c>
      <c r="E45" s="11" t="s">
        <v>151</v>
      </c>
      <c r="F45" s="25" t="n">
        <v>585497</v>
      </c>
      <c r="G45" s="25" t="n">
        <v>889504</v>
      </c>
      <c r="H45" s="25" t="n">
        <v>128487</v>
      </c>
      <c r="I45" s="25" t="n">
        <f aca="false">SUM(F45:H45)</f>
        <v>1603488</v>
      </c>
      <c r="J45" s="29" t="n">
        <f aca="false">SUM(F45:G45)</f>
        <v>1475001</v>
      </c>
      <c r="K45" s="24" t="n">
        <v>12</v>
      </c>
      <c r="L45" s="29" t="n">
        <f aca="false">H45/SUM(K45/12)</f>
        <v>128487</v>
      </c>
      <c r="M45" s="30" t="n">
        <f aca="false">I45/SUM($I$5:$I$51)*Instrucciones!$B$84</f>
        <v>213704.31596255</v>
      </c>
      <c r="O45" s="31" t="b">
        <f aca="false">B45=Datos!B45</f>
        <v>0</v>
      </c>
      <c r="P45" s="31" t="b">
        <f aca="false">D45=TRIM(CLEAN(Datos!D45))</f>
        <v>0</v>
      </c>
      <c r="Q45" s="31" t="b">
        <f aca="false">J45=Datos!J45</f>
        <v>0</v>
      </c>
      <c r="R45" s="31" t="b">
        <f aca="false">L45=Datos!L45</f>
        <v>0</v>
      </c>
      <c r="S45" s="31" t="b">
        <f aca="false">M45=Datos!M45</f>
        <v>0</v>
      </c>
    </row>
    <row r="46" customFormat="false" ht="13.5" hidden="false" customHeight="false" outlineLevel="0" collapsed="false">
      <c r="A46" s="23" t="n">
        <v>4</v>
      </c>
      <c r="B46" s="23" t="s">
        <v>30</v>
      </c>
      <c r="C46" s="11" t="s">
        <v>152</v>
      </c>
      <c r="D46" s="11" t="s">
        <v>152</v>
      </c>
      <c r="E46" s="11" t="s">
        <v>153</v>
      </c>
      <c r="F46" s="25" t="n">
        <v>857867</v>
      </c>
      <c r="G46" s="25" t="n">
        <v>10970</v>
      </c>
      <c r="H46" s="25" t="n">
        <v>71560</v>
      </c>
      <c r="I46" s="25" t="n">
        <f aca="false">SUM(F46:H46)</f>
        <v>940397</v>
      </c>
      <c r="J46" s="29" t="n">
        <f aca="false">SUM(F46:G46)</f>
        <v>868837</v>
      </c>
      <c r="K46" s="24" t="n">
        <v>24</v>
      </c>
      <c r="L46" s="29" t="n">
        <f aca="false">H46/SUM(K46/12)</f>
        <v>35780</v>
      </c>
      <c r="M46" s="30" t="n">
        <f aca="false">I46/SUM($I$5:$I$51)*Instrucciones!$B$84</f>
        <v>125331.08923686</v>
      </c>
      <c r="O46" s="31" t="b">
        <f aca="false">B46=Datos!B46</f>
        <v>0</v>
      </c>
      <c r="P46" s="31" t="b">
        <f aca="false">D46=TRIM(CLEAN(Datos!D46))</f>
        <v>0</v>
      </c>
      <c r="Q46" s="31" t="b">
        <f aca="false">J46=Datos!J46</f>
        <v>0</v>
      </c>
      <c r="R46" s="31" t="b">
        <f aca="false">L46=Datos!L46</f>
        <v>0</v>
      </c>
      <c r="S46" s="31" t="b">
        <f aca="false">M46=Datos!M46</f>
        <v>0</v>
      </c>
    </row>
    <row r="47" customFormat="false" ht="13.5" hidden="false" customHeight="false" outlineLevel="0" collapsed="false">
      <c r="A47" s="23" t="n">
        <v>5</v>
      </c>
      <c r="B47" s="23" t="s">
        <v>31</v>
      </c>
      <c r="C47" s="11" t="s">
        <v>154</v>
      </c>
      <c r="D47" s="11" t="s">
        <v>154</v>
      </c>
      <c r="E47" s="11" t="s">
        <v>155</v>
      </c>
      <c r="F47" s="25" t="n">
        <v>768065</v>
      </c>
      <c r="G47" s="25" t="n">
        <v>904615</v>
      </c>
      <c r="H47" s="25" t="n">
        <v>493017</v>
      </c>
      <c r="I47" s="25" t="n">
        <f aca="false">SUM(F47:H47)</f>
        <v>2165697</v>
      </c>
      <c r="J47" s="29" t="n">
        <f aca="false">SUM(F47:G47)</f>
        <v>1672680</v>
      </c>
      <c r="K47" s="24" t="n">
        <v>24</v>
      </c>
      <c r="L47" s="29" t="n">
        <f aca="false">H47/SUM(K47/12)</f>
        <v>246508.5</v>
      </c>
      <c r="M47" s="30" t="n">
        <f aca="false">I47/SUM($I$5:$I$51)*Instrucciones!$B$84</f>
        <v>288632.52856719</v>
      </c>
      <c r="O47" s="31" t="b">
        <f aca="false">B47=Datos!B47</f>
        <v>0</v>
      </c>
      <c r="P47" s="31" t="b">
        <f aca="false">D47=TRIM(CLEAN(Datos!D47))</f>
        <v>0</v>
      </c>
      <c r="Q47" s="31" t="b">
        <f aca="false">J47=Datos!J47</f>
        <v>0</v>
      </c>
      <c r="R47" s="31" t="b">
        <f aca="false">L47=Datos!L47</f>
        <v>0</v>
      </c>
      <c r="S47" s="31" t="b">
        <f aca="false">M47=Datos!M47</f>
        <v>0</v>
      </c>
    </row>
    <row r="48" customFormat="false" ht="13.5" hidden="false" customHeight="false" outlineLevel="0" collapsed="false">
      <c r="A48" s="23" t="n">
        <v>5</v>
      </c>
      <c r="B48" s="23" t="s">
        <v>31</v>
      </c>
      <c r="C48" s="11" t="s">
        <v>156</v>
      </c>
      <c r="D48" s="11" t="s">
        <v>156</v>
      </c>
      <c r="E48" s="11" t="s">
        <v>157</v>
      </c>
      <c r="F48" s="25" t="n">
        <v>671312</v>
      </c>
      <c r="G48" s="25" t="n">
        <v>608993</v>
      </c>
      <c r="H48" s="25" t="n">
        <v>481648</v>
      </c>
      <c r="I48" s="25" t="n">
        <f aca="false">SUM(F48:H48)</f>
        <v>1761953</v>
      </c>
      <c r="J48" s="29" t="n">
        <f aca="false">SUM(F48:G48)</f>
        <v>1280305</v>
      </c>
      <c r="K48" s="24" t="n">
        <v>24</v>
      </c>
      <c r="L48" s="29" t="n">
        <f aca="false">H48/SUM(K48/12)</f>
        <v>240824</v>
      </c>
      <c r="M48" s="30" t="n">
        <f aca="false">I48/SUM($I$5:$I$51)*Instrucciones!$B$84</f>
        <v>234823.684756707</v>
      </c>
      <c r="O48" s="31" t="b">
        <f aca="false">B48=Datos!B48</f>
        <v>0</v>
      </c>
      <c r="P48" s="31" t="b">
        <f aca="false">D48=TRIM(CLEAN(Datos!D48))</f>
        <v>0</v>
      </c>
      <c r="Q48" s="31" t="b">
        <f aca="false">J48=Datos!J48</f>
        <v>0</v>
      </c>
      <c r="R48" s="31" t="b">
        <f aca="false">L48=Datos!L48</f>
        <v>0</v>
      </c>
      <c r="S48" s="31" t="b">
        <f aca="false">M48=Datos!M48</f>
        <v>0</v>
      </c>
    </row>
    <row r="49" customFormat="false" ht="13.5" hidden="false" customHeight="false" outlineLevel="0" collapsed="false">
      <c r="A49" s="23" t="n">
        <v>2</v>
      </c>
      <c r="B49" s="23" t="s">
        <v>28</v>
      </c>
      <c r="C49" s="11" t="s">
        <v>158</v>
      </c>
      <c r="D49" s="11" t="s">
        <v>158</v>
      </c>
      <c r="E49" s="11" t="s">
        <v>159</v>
      </c>
      <c r="F49" s="25" t="n">
        <v>477070</v>
      </c>
      <c r="G49" s="25" t="n">
        <v>637457</v>
      </c>
      <c r="H49" s="25" t="n">
        <v>394527</v>
      </c>
      <c r="I49" s="25" t="n">
        <f aca="false">SUM(F49:H49)</f>
        <v>1509054</v>
      </c>
      <c r="J49" s="29" t="n">
        <f aca="false">SUM(F49:G49)</f>
        <v>1114527</v>
      </c>
      <c r="K49" s="24" t="n">
        <v>24</v>
      </c>
      <c r="L49" s="29" t="n">
        <f aca="false">H49/SUM(K49/12)</f>
        <v>197263.5</v>
      </c>
      <c r="M49" s="30" t="n">
        <f aca="false">I49/SUM($I$5:$I$51)*Instrucciones!$B$84</f>
        <v>201118.65684093</v>
      </c>
      <c r="O49" s="31" t="b">
        <f aca="false">B49=Datos!B49</f>
        <v>0</v>
      </c>
      <c r="P49" s="31" t="b">
        <f aca="false">D49=TRIM(CLEAN(Datos!D49))</f>
        <v>0</v>
      </c>
      <c r="Q49" s="31" t="b">
        <f aca="false">J49=Datos!J49</f>
        <v>0</v>
      </c>
      <c r="R49" s="31" t="b">
        <f aca="false">L49=Datos!L49</f>
        <v>0</v>
      </c>
      <c r="S49" s="31" t="b">
        <f aca="false">M49=Datos!M49</f>
        <v>0</v>
      </c>
    </row>
    <row r="50" customFormat="false" ht="13.5" hidden="false" customHeight="false" outlineLevel="0" collapsed="false">
      <c r="A50" s="23" t="n">
        <v>3</v>
      </c>
      <c r="B50" s="23" t="s">
        <v>29</v>
      </c>
      <c r="C50" s="11" t="s">
        <v>160</v>
      </c>
      <c r="D50" s="11" t="s">
        <v>160</v>
      </c>
      <c r="E50" s="11" t="s">
        <v>161</v>
      </c>
      <c r="F50" s="25" t="n">
        <v>741836</v>
      </c>
      <c r="G50" s="25" t="n">
        <v>395516</v>
      </c>
      <c r="H50" s="25" t="n">
        <v>914708</v>
      </c>
      <c r="I50" s="25" t="n">
        <f aca="false">SUM(F50:H50)</f>
        <v>2052060</v>
      </c>
      <c r="J50" s="29" t="n">
        <f aca="false">SUM(F50:G50)</f>
        <v>1137352</v>
      </c>
      <c r="K50" s="24" t="n">
        <v>12</v>
      </c>
      <c r="L50" s="29" t="n">
        <f aca="false">H50/SUM(K50/12)</f>
        <v>914708</v>
      </c>
      <c r="M50" s="30" t="n">
        <f aca="false">I50/SUM($I$5:$I$51)*Instrucciones!$B$84</f>
        <v>273487.596174159</v>
      </c>
      <c r="O50" s="31" t="b">
        <f aca="false">B50=Datos!B50</f>
        <v>0</v>
      </c>
      <c r="P50" s="31" t="b">
        <f aca="false">D50=TRIM(CLEAN(Datos!D50))</f>
        <v>0</v>
      </c>
      <c r="Q50" s="31" t="b">
        <f aca="false">J50=Datos!J50</f>
        <v>0</v>
      </c>
      <c r="R50" s="31" t="b">
        <f aca="false">L50=Datos!L50</f>
        <v>0</v>
      </c>
      <c r="S50" s="31" t="b">
        <f aca="false">M50=Datos!M50</f>
        <v>0</v>
      </c>
    </row>
    <row r="51" customFormat="false" ht="13.5" hidden="false" customHeight="false" outlineLevel="0" collapsed="false">
      <c r="A51" s="23" t="n">
        <v>1</v>
      </c>
      <c r="B51" s="23" t="s">
        <v>27</v>
      </c>
      <c r="C51" s="11" t="s">
        <v>162</v>
      </c>
      <c r="D51" s="11" t="s">
        <v>162</v>
      </c>
      <c r="E51" s="11" t="s">
        <v>163</v>
      </c>
      <c r="F51" s="25" t="n">
        <v>51206</v>
      </c>
      <c r="G51" s="25" t="n">
        <v>36507</v>
      </c>
      <c r="H51" s="25" t="n">
        <v>58308</v>
      </c>
      <c r="I51" s="25" t="n">
        <f aca="false">SUM(F51:H51)</f>
        <v>146021</v>
      </c>
      <c r="J51" s="29" t="n">
        <f aca="false">SUM(F51:G51)</f>
        <v>87713</v>
      </c>
      <c r="K51" s="24" t="n">
        <v>12</v>
      </c>
      <c r="L51" s="29" t="n">
        <f aca="false">H51/SUM(K51/12)</f>
        <v>58308</v>
      </c>
      <c r="M51" s="30" t="n">
        <f aca="false">I51/SUM($I$5:$I$51)*Instrucciones!$B$84</f>
        <v>19460.8989410382</v>
      </c>
      <c r="O51" s="31" t="b">
        <f aca="false">B51=Datos!B51</f>
        <v>0</v>
      </c>
      <c r="P51" s="31" t="b">
        <f aca="false">D51=TRIM(CLEAN(Datos!D51))</f>
        <v>0</v>
      </c>
      <c r="Q51" s="31" t="b">
        <f aca="false">J51=Datos!J51</f>
        <v>0</v>
      </c>
      <c r="R51" s="31" t="b">
        <f aca="false">L51=Datos!L51</f>
        <v>0</v>
      </c>
      <c r="S51" s="31" t="b">
        <f aca="false">M51=Datos!M51</f>
        <v>0</v>
      </c>
    </row>
    <row r="52" customFormat="false" ht="13.5" hidden="false" customHeight="false" outlineLevel="0" collapsed="false">
      <c r="E52" s="26" t="s">
        <v>164</v>
      </c>
      <c r="F52" s="27" t="n">
        <v>26405003</v>
      </c>
      <c r="G52" s="27" t="n">
        <v>23712714</v>
      </c>
      <c r="H52" s="27" t="n">
        <v>24915302</v>
      </c>
      <c r="I52" s="27" t="n">
        <v>78033019</v>
      </c>
      <c r="J52" s="27" t="n">
        <f aca="false">SUM(J5:J51)</f>
        <v>50117717</v>
      </c>
      <c r="L52" s="27" t="n">
        <f aca="false">SUM(L5:L51)</f>
        <v>21140704.5</v>
      </c>
      <c r="M52" s="27" t="n">
        <f aca="false">SUM(M5:M51)</f>
        <v>10000000</v>
      </c>
    </row>
  </sheetData>
  <autoFilter ref="A4:M52"/>
  <dataValidations count="1">
    <dataValidation allowBlank="true" errorStyle="stop" operator="between" showDropDown="false" showErrorMessage="true" showInputMessage="true" sqref="F4" type="list">
      <formula1>"Yes,Unable To Complete"</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19"/>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G42" activeCellId="0" sqref="G42"/>
    </sheetView>
  </sheetViews>
  <sheetFormatPr defaultColWidth="8.625" defaultRowHeight="13.5" zeroHeight="false" outlineLevelRow="0" outlineLevelCol="0"/>
  <cols>
    <col collapsed="false" customWidth="true" hidden="false" outlineLevel="0" max="1" min="1" style="0" width="13.25"/>
    <col collapsed="false" customWidth="true" hidden="false" outlineLevel="0" max="9" min="2" style="0" width="13.88"/>
    <col collapsed="false" customWidth="true" hidden="false" outlineLevel="0" max="10" min="10" style="0" width="14.38"/>
    <col collapsed="false" customWidth="true" hidden="false" outlineLevel="0" max="11" min="11" style="0" width="13.5"/>
    <col collapsed="false" customWidth="true" hidden="false" outlineLevel="0" max="12" min="12" style="0" width="12.12"/>
  </cols>
  <sheetData>
    <row r="1" customFormat="false" ht="26.85" hidden="false" customHeight="false" outlineLevel="0" collapsed="false">
      <c r="B1" s="4" t="s">
        <v>199</v>
      </c>
      <c r="C1" s="4" t="s">
        <v>200</v>
      </c>
      <c r="D1" s="4" t="s">
        <v>201</v>
      </c>
      <c r="E1" s="4" t="s">
        <v>202</v>
      </c>
      <c r="F1" s="4" t="s">
        <v>203</v>
      </c>
      <c r="G1" s="4" t="s">
        <v>204</v>
      </c>
      <c r="H1" s="4" t="s">
        <v>205</v>
      </c>
      <c r="I1" s="4" t="s">
        <v>206</v>
      </c>
      <c r="J1" s="17" t="s">
        <v>207</v>
      </c>
      <c r="K1" s="4" t="s">
        <v>208</v>
      </c>
      <c r="L1" s="32" t="s">
        <v>209</v>
      </c>
    </row>
    <row r="2" customFormat="false" ht="13.5" hidden="false" customHeight="false" outlineLevel="0" collapsed="false">
      <c r="A2" s="7" t="s">
        <v>210</v>
      </c>
      <c r="B2" s="33"/>
      <c r="C2" s="34" t="s">
        <v>211</v>
      </c>
      <c r="D2" s="34" t="s">
        <v>211</v>
      </c>
      <c r="E2" s="34" t="s">
        <v>211</v>
      </c>
      <c r="F2" s="34" t="s">
        <v>211</v>
      </c>
      <c r="G2" s="34" t="n">
        <f aca="false">IF(Instrucciones!F4&lt;&gt;"Yes",0,1)</f>
        <v>0</v>
      </c>
      <c r="H2" s="6" t="s">
        <v>211</v>
      </c>
      <c r="I2" s="6" t="s">
        <v>211</v>
      </c>
      <c r="J2" s="6" t="s">
        <v>211</v>
      </c>
      <c r="K2" s="6" t="n">
        <v>0</v>
      </c>
      <c r="L2" s="6" t="str">
        <f aca="false">IF(Instrucciones!F4="Yes","Yes","No")</f>
        <v>No</v>
      </c>
    </row>
    <row r="3" customFormat="false" ht="13.5" hidden="false" customHeight="false" outlineLevel="0" collapsed="false">
      <c r="A3" s="10" t="s">
        <v>179</v>
      </c>
      <c r="B3" s="35"/>
      <c r="C3" s="36" t="n">
        <f aca="false">B3-B2</f>
        <v>0</v>
      </c>
      <c r="D3" s="36" t="n">
        <v>0.00347222222222222</v>
      </c>
      <c r="E3" s="37" t="n">
        <f aca="false">C3/D3</f>
        <v>0</v>
      </c>
      <c r="F3" s="38" t="n">
        <f aca="false">IF(L3="No",0,IF(E3&lt;0.5,3,IF(E3&lt;1,2,IF(E3&lt;1.25,1,0))))</f>
        <v>0</v>
      </c>
      <c r="G3" s="39" t="n">
        <f aca="false">COUNTIF(Marking!O:O,"True")/COUNTA(Marking!O5:O51)</f>
        <v>0</v>
      </c>
      <c r="H3" s="39" t="n">
        <v>1</v>
      </c>
      <c r="I3" s="9" t="n">
        <f aca="false">IF(L3="No",0,IF(G3&gt;=H3,2,IF(G3&gt;=(H3*0.7),1,0)))</f>
        <v>0</v>
      </c>
      <c r="J3" s="9"/>
      <c r="K3" s="9" t="n">
        <f aca="false">IF(L3="No",0,IF(J3="Yes",2,IF(G3&gt;=H3,1,0)))</f>
        <v>0</v>
      </c>
      <c r="L3" s="9" t="str">
        <f aca="false">IF(Instrucciones!F5="Yes","Yes","No")</f>
        <v>No</v>
      </c>
    </row>
    <row r="4" customFormat="false" ht="13.5" hidden="false" customHeight="false" outlineLevel="0" collapsed="false">
      <c r="A4" s="10" t="s">
        <v>180</v>
      </c>
      <c r="B4" s="35"/>
      <c r="C4" s="36" t="n">
        <f aca="false">B4-B3</f>
        <v>0</v>
      </c>
      <c r="D4" s="36" t="n">
        <v>0.00694444444444444</v>
      </c>
      <c r="E4" s="37" t="n">
        <f aca="false">C4/D4</f>
        <v>0</v>
      </c>
      <c r="F4" s="38" t="n">
        <f aca="false">IF(L4="No",0,IF(E4&lt;0.5,3,IF(E4&lt;1,2,IF(E4&lt;1.25,1,0))))</f>
        <v>0</v>
      </c>
      <c r="G4" s="39" t="n">
        <f aca="false">COUNTIF(Marking!P:P,"True")/COUNTA(Marking!P5:P51)</f>
        <v>0</v>
      </c>
      <c r="H4" s="39" t="n">
        <v>0.95</v>
      </c>
      <c r="I4" s="9" t="n">
        <f aca="false">IF(L4="No",0,IF(G4&gt;=H4,2,IF(G4&gt;=(H4*0.7),1,0)))</f>
        <v>0</v>
      </c>
      <c r="J4" s="9" t="s">
        <v>211</v>
      </c>
      <c r="K4" s="9" t="n">
        <v>0</v>
      </c>
      <c r="L4" s="9" t="str">
        <f aca="false">IF(Instrucciones!F6="Yes","Yes","No")</f>
        <v>No</v>
      </c>
    </row>
    <row r="5" customFormat="false" ht="13.5" hidden="false" customHeight="false" outlineLevel="0" collapsed="false">
      <c r="A5" s="10" t="s">
        <v>181</v>
      </c>
      <c r="B5" s="35"/>
      <c r="C5" s="36" t="n">
        <f aca="false">B5-B4</f>
        <v>0</v>
      </c>
      <c r="D5" s="36" t="n">
        <v>0.00347222222222222</v>
      </c>
      <c r="E5" s="37" t="n">
        <f aca="false">C5/D5</f>
        <v>0</v>
      </c>
      <c r="F5" s="38" t="n">
        <f aca="false">IF(L5="No",0,IF(E5&lt;0.5,3,IF(E5&lt;1,2,IF(E5&lt;1.25,1,0))))</f>
        <v>0</v>
      </c>
      <c r="G5" s="39" t="n">
        <f aca="false">COUNTIF(Marking!Q:Q,"True")/COUNTA(Marking!Q5:Q51)</f>
        <v>0</v>
      </c>
      <c r="H5" s="39" t="n">
        <v>1</v>
      </c>
      <c r="I5" s="9" t="n">
        <f aca="false">IF(L5="No",0,IF(G5&gt;=H5,2,IF(G5&gt;=(H5*0.7),1,0)))</f>
        <v>0</v>
      </c>
      <c r="J5" s="9"/>
      <c r="K5" s="9" t="n">
        <f aca="false">IF(L5="No",0,IF(J5="Yes",2,IF(G5&gt;=H5,1,0)))</f>
        <v>0</v>
      </c>
      <c r="L5" s="9" t="str">
        <f aca="false">IF(Instrucciones!F7="Yes","Yes","No")</f>
        <v>No</v>
      </c>
    </row>
    <row r="6" customFormat="false" ht="13.5" hidden="false" customHeight="false" outlineLevel="0" collapsed="false">
      <c r="A6" s="10" t="s">
        <v>182</v>
      </c>
      <c r="B6" s="35"/>
      <c r="C6" s="36" t="n">
        <f aca="false">B6-B5</f>
        <v>0</v>
      </c>
      <c r="D6" s="36" t="n">
        <v>0.00694444444444444</v>
      </c>
      <c r="E6" s="37" t="n">
        <f aca="false">C6/D6</f>
        <v>0</v>
      </c>
      <c r="F6" s="38" t="n">
        <f aca="false">IF(L6="No",0,IF(E6&lt;0.5,3,IF(E6&lt;1,2,IF(E6&lt;1.25,1,0))))</f>
        <v>0</v>
      </c>
      <c r="G6" s="39" t="n">
        <f aca="false">COUNTIF(Marking!R:R,"True")/COUNTA(Marking!R5:R51)</f>
        <v>0</v>
      </c>
      <c r="H6" s="39" t="n">
        <v>0.8</v>
      </c>
      <c r="I6" s="9" t="n">
        <f aca="false">IF(L6="No",0,IF(G6&gt;=H6,2,IF(G6&gt;=(H6*0.7),1,0)))</f>
        <v>0</v>
      </c>
      <c r="J6" s="9"/>
      <c r="K6" s="9" t="n">
        <f aca="false">IF(L6="No",0,IF(J6="Yes",2,IF(G6&gt;=H6,1,0)))</f>
        <v>0</v>
      </c>
      <c r="L6" s="9" t="str">
        <f aca="false">IF(Instrucciones!F8="Yes","Yes","No")</f>
        <v>No</v>
      </c>
    </row>
    <row r="7" customFormat="false" ht="13.5" hidden="false" customHeight="false" outlineLevel="0" collapsed="false">
      <c r="A7" s="10" t="s">
        <v>183</v>
      </c>
      <c r="B7" s="35"/>
      <c r="C7" s="36" t="n">
        <f aca="false">B7-B6</f>
        <v>0</v>
      </c>
      <c r="D7" s="36" t="n">
        <v>0.00694444444444444</v>
      </c>
      <c r="E7" s="37" t="n">
        <f aca="false">C7/D7</f>
        <v>0</v>
      </c>
      <c r="F7" s="38" t="n">
        <f aca="false">IF(L7="No",0,IF(E7&lt;0.5,3,IF(E7&lt;1,2,IF(E7&lt;1.25,1,0))))</f>
        <v>0</v>
      </c>
      <c r="G7" s="39" t="n">
        <f aca="false">COUNTIF(Marking!S:S,"True")/COUNTA(Marking!S5:S51)</f>
        <v>0</v>
      </c>
      <c r="H7" s="39" t="n">
        <v>0.8</v>
      </c>
      <c r="I7" s="9" t="n">
        <f aca="false">IF(L7="No",0,IF(G7&gt;=H7,2,IF(G7&gt;=(H7*0.7),1,0)))</f>
        <v>0</v>
      </c>
      <c r="J7" s="9"/>
      <c r="K7" s="9" t="n">
        <f aca="false">IF(L7="No",0,IF(J7="Yes",2,IF(G7&gt;=H7,1,0)))</f>
        <v>0</v>
      </c>
      <c r="L7" s="9" t="str">
        <f aca="false">IF(Instrucciones!F9="Yes","Yes","No")</f>
        <v>No</v>
      </c>
    </row>
    <row r="8" customFormat="false" ht="13.5" hidden="false" customHeight="false" outlineLevel="0" collapsed="false">
      <c r="A8" s="13" t="s">
        <v>212</v>
      </c>
      <c r="B8" s="40"/>
      <c r="C8" s="36" t="n">
        <f aca="false">B8-B7</f>
        <v>0</v>
      </c>
      <c r="D8" s="36" t="n">
        <v>0.00347222222222222</v>
      </c>
      <c r="E8" s="41" t="n">
        <f aca="false">C8/D8</f>
        <v>0</v>
      </c>
      <c r="F8" s="42" t="n">
        <f aca="false">IF(L8="No",0,IF(E8&lt;0.5,3,IF(E8&lt;1,2,IF(E8&lt;1.25,1,0))))</f>
        <v>0</v>
      </c>
      <c r="G8" s="43" t="s">
        <v>211</v>
      </c>
      <c r="H8" s="43" t="s">
        <v>211</v>
      </c>
      <c r="I8" s="43" t="s">
        <v>211</v>
      </c>
      <c r="J8" s="12"/>
      <c r="K8" s="9" t="n">
        <f aca="false">IF(L8="No",0,IF(J8="Yes",2,IF(G8&gt;=H8,1,0)))</f>
        <v>0</v>
      </c>
      <c r="L8" s="12" t="str">
        <f aca="false">IF(Instrucciones!F10="Yes","Yes","No")</f>
        <v>No</v>
      </c>
    </row>
    <row r="9" customFormat="false" ht="13.5" hidden="false" customHeight="false" outlineLevel="0" collapsed="false">
      <c r="A9" s="26" t="s">
        <v>164</v>
      </c>
      <c r="B9" s="26"/>
      <c r="C9" s="44" t="n">
        <f aca="false">SUM(C3:C8)</f>
        <v>0</v>
      </c>
      <c r="D9" s="44" t="n">
        <f aca="false">SUM(D3:D8)</f>
        <v>0.03125</v>
      </c>
      <c r="E9" s="45" t="n">
        <f aca="false">C9/D9</f>
        <v>0</v>
      </c>
      <c r="F9" s="2" t="n">
        <f aca="false">SUM(F2:F8)</f>
        <v>0</v>
      </c>
      <c r="G9" s="46" t="n">
        <f aca="false">AVERAGE(G2:G8)</f>
        <v>0</v>
      </c>
      <c r="H9" s="46" t="n">
        <f aca="false">AVERAGE(H2:H8)</f>
        <v>0.91</v>
      </c>
      <c r="I9" s="2" t="n">
        <f aca="false">SUM(I2:I8)</f>
        <v>0</v>
      </c>
      <c r="K9" s="2" t="n">
        <f aca="false">SUM(K2:K8)</f>
        <v>0</v>
      </c>
    </row>
    <row r="12" customFormat="false" ht="13.5" hidden="false" customHeight="false" outlineLevel="0" collapsed="false">
      <c r="B12" s="2" t="s">
        <v>213</v>
      </c>
      <c r="C12" s="2" t="s">
        <v>204</v>
      </c>
      <c r="D12" s="2" t="s">
        <v>214</v>
      </c>
      <c r="E12" s="2" t="s">
        <v>215</v>
      </c>
      <c r="F12" s="2" t="s">
        <v>216</v>
      </c>
      <c r="I12" s="47" t="s">
        <v>217</v>
      </c>
      <c r="J12" s="48"/>
    </row>
    <row r="13" customFormat="false" ht="13.5" hidden="false" customHeight="false" outlineLevel="0" collapsed="false">
      <c r="A13" s="4" t="s">
        <v>218</v>
      </c>
      <c r="B13" s="18" t="n">
        <f aca="false">F9</f>
        <v>0</v>
      </c>
      <c r="C13" s="18" t="n">
        <f aca="false">I9</f>
        <v>0</v>
      </c>
      <c r="D13" s="18" t="n">
        <f aca="false">K9</f>
        <v>0</v>
      </c>
      <c r="E13" s="18" t="n">
        <f aca="false">IF(J12="Yes",3,0)</f>
        <v>0</v>
      </c>
      <c r="F13" s="26" t="n">
        <f aca="false">SUM(B13:E13)</f>
        <v>0</v>
      </c>
    </row>
    <row r="14" customFormat="false" ht="13.5" hidden="false" customHeight="false" outlineLevel="0" collapsed="false">
      <c r="A14" s="4" t="s">
        <v>219</v>
      </c>
      <c r="B14" s="18" t="n">
        <v>18</v>
      </c>
      <c r="C14" s="18" t="n">
        <v>10</v>
      </c>
      <c r="D14" s="18" t="n">
        <v>10</v>
      </c>
      <c r="E14" s="18" t="n">
        <v>3</v>
      </c>
      <c r="F14" s="26" t="n">
        <f aca="false">SUM(B14:E14)</f>
        <v>41</v>
      </c>
    </row>
    <row r="15" customFormat="false" ht="13.5" hidden="false" customHeight="false" outlineLevel="0" collapsed="false">
      <c r="A15" s="2" t="s">
        <v>220</v>
      </c>
      <c r="B15" s="49" t="n">
        <f aca="false">B13/B14</f>
        <v>0</v>
      </c>
      <c r="C15" s="49" t="n">
        <f aca="false">C13/C14</f>
        <v>0</v>
      </c>
      <c r="D15" s="49" t="n">
        <f aca="false">D13/D14</f>
        <v>0</v>
      </c>
      <c r="E15" s="49" t="n">
        <f aca="false">E13/E14</f>
        <v>0</v>
      </c>
      <c r="F15" s="50" t="n">
        <f aca="false">F13/F14</f>
        <v>0</v>
      </c>
    </row>
    <row r="19" customFormat="false" ht="13.5" hidden="false" customHeight="false" outlineLevel="0" collapsed="false">
      <c r="B19" s="51"/>
    </row>
  </sheetData>
  <dataValidations count="2">
    <dataValidation allowBlank="true" errorStyle="stop" operator="between" showDropDown="false" showErrorMessage="true" showInputMessage="true" sqref="F4" type="list">
      <formula1>"Yes,Unable To Complete"</formula1>
      <formula2>0</formula2>
    </dataValidation>
    <dataValidation allowBlank="true" errorStyle="stop" operator="between" showDropDown="false" showErrorMessage="true" showInputMessage="true" sqref="J3 J5:J8 J12" type="list">
      <formula1>"Yes,No,N/A"</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7e4327f8-ba55-4531-bbb5-87f07072dfd5">
      <Terms xmlns="http://schemas.microsoft.com/office/infopath/2007/PartnerControls"/>
    </lcf76f155ced4ddcb4097134ff3c332f>
    <TaxCatchAll xmlns="fbd31d03-b3e6-43bb-9153-84fa13e0fe3a"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DD935299027BD409B58D69B4A03A9AF" ma:contentTypeVersion="17" ma:contentTypeDescription="Create a new document." ma:contentTypeScope="" ma:versionID="e08863b072de08854404b773959b06c0">
  <xsd:schema xmlns:xsd="http://www.w3.org/2001/XMLSchema" xmlns:xs="http://www.w3.org/2001/XMLSchema" xmlns:p="http://schemas.microsoft.com/office/2006/metadata/properties" xmlns:ns1="http://schemas.microsoft.com/sharepoint/v3" xmlns:ns2="7e4327f8-ba55-4531-bbb5-87f07072dfd5" xmlns:ns3="fbd31d03-b3e6-43bb-9153-84fa13e0fe3a" targetNamespace="http://schemas.microsoft.com/office/2006/metadata/properties" ma:root="true" ma:fieldsID="4a1ae673fdd01a546d3b2f18e4dc6062" ns1:_="" ns2:_="" ns3:_="">
    <xsd:import namespace="http://schemas.microsoft.com/sharepoint/v3"/>
    <xsd:import namespace="7e4327f8-ba55-4531-bbb5-87f07072dfd5"/>
    <xsd:import namespace="fbd31d03-b3e6-43bb-9153-84fa13e0fe3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LengthInSecond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Location" minOccurs="0"/>
                <xsd:element ref="ns2:MediaServiceObjectDetectorVersions"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4327f8-ba55-4531-bbb5-87f07072df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2" nillable="true" ma:displayName="MediaLengthInSeconds" ma:hidden="true" ma:internalName="MediaLengthInSeconds" ma:readOnly="true">
      <xsd:simpleType>
        <xsd:restriction base="dms:Unknown"/>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bd423cc-3e15-43db-b6a8-31cead05c62f"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bd31d03-b3e6-43bb-9153-84fa13e0fe3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2fbb896-1e40-4c64-9f97-47702eccb5a0}" ma:internalName="TaxCatchAll" ma:showField="CatchAllData" ma:web="fbd31d03-b3e6-43bb-9153-84fa13e0fe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5D8463-ADE4-4FCB-84FC-F16923CB67E6}"/>
</file>

<file path=customXml/itemProps2.xml><?xml version="1.0" encoding="utf-8"?>
<ds:datastoreItem xmlns:ds="http://schemas.openxmlformats.org/officeDocument/2006/customXml" ds:itemID="{010C2146-87F5-48AA-9C95-3CAF53AC7D58}"/>
</file>

<file path=customXml/itemProps3.xml><?xml version="1.0" encoding="utf-8"?>
<ds:datastoreItem xmlns:ds="http://schemas.openxmlformats.org/officeDocument/2006/customXml" ds:itemID="{218CFA08-F42C-4CC2-8A21-A2BC72B2BB71}"/>
</file>

<file path=docMetadata/LabelInfo.xml><?xml version="1.0" encoding="utf-8"?>
<clbl:labelList xmlns:clbl="http://schemas.microsoft.com/office/2020/mipLabelMetadata">
  <clbl:label id="{8ad23be8-214e-4e4d-858f-039d00693aea}" enabled="1" method="Standard" siteId="{131d4a42-f96f-4d1b-8981-294c8171e506}" removed="0"/>
</clbl:labelList>
</file>

<file path=docProps/app.xml><?xml version="1.0" encoding="utf-8"?>
<Properties xmlns="http://schemas.openxmlformats.org/officeDocument/2006/extended-properties" xmlns:vt="http://schemas.openxmlformats.org/officeDocument/2006/docPropsVTypes">
  <Template/>
  <TotalTime>1</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2025-04-16T08:37:44Z</dcterms:created>
  <dc:creator>James Hunt</dc:creator>
  <dc:description/>
  <dc:language>es-ES</dc:language>
  <cp:lastModifiedBy/>
  <dcterms:modified xsi:type="dcterms:W3CDTF">2026-04-22T14:38:55Z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0x0101008DD935299027BD409B58D69B4A03A9AF</vt:lpwstr>
  </property>
  <property fmtid="{D5CDD505-2E9C-101B-9397-08002B2CF9AE}" pid="3" name="MediaServiceImageTags">
    <vt:lpwstr/>
  </property>
</Properties>
</file>